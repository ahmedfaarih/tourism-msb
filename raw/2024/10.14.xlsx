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4\Final\Web\Tourism\"/>
    </mc:Choice>
  </mc:AlternateContent>
  <xr:revisionPtr revIDLastSave="0" documentId="13_ncr:1_{56743CD8-ECF1-405D-A684-4CC80B3F6627}" xr6:coauthVersionLast="47" xr6:coauthVersionMax="47" xr10:uidLastSave="{00000000-0000-0000-0000-000000000000}"/>
  <bookViews>
    <workbookView xWindow="-120" yWindow="-120" windowWidth="29040" windowHeight="15720" tabRatio="714" xr2:uid="{00000000-000D-0000-FFFF-FFFF00000000}"/>
  </bookViews>
  <sheets>
    <sheet name="10.14" sheetId="16" r:id="rId1"/>
  </sheets>
  <externalReferences>
    <externalReference r:id="rId2"/>
  </externalReferences>
  <definedNames>
    <definedName name="_xlnm.Print_Area" localSheetId="0">'10.14'!$A$1:$X$217</definedName>
    <definedName name="_xlnm.Print_Titles" localSheetId="0">'10.14'!$4:$5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74" i="16" l="1"/>
  <c r="X11" i="16"/>
  <c r="X7" i="16"/>
  <c r="X6" i="16"/>
  <c r="W137" i="16" l="1"/>
  <c r="W7" i="16"/>
  <c r="W11" i="16"/>
  <c r="W13" i="16"/>
  <c r="W16" i="16"/>
  <c r="W25" i="16"/>
  <c r="W43" i="16"/>
  <c r="W61" i="16"/>
  <c r="W75" i="16"/>
  <c r="W151" i="16"/>
  <c r="W171" i="16"/>
  <c r="W177" i="16"/>
  <c r="W181" i="16"/>
  <c r="W183" i="16"/>
  <c r="W193" i="16"/>
  <c r="W195" i="16"/>
  <c r="W198" i="16"/>
  <c r="W205" i="16"/>
  <c r="W209" i="16"/>
  <c r="W6" i="16" l="1"/>
  <c r="X154" i="16" l="1"/>
  <c r="X175" i="16"/>
  <c r="X109" i="16"/>
  <c r="X108" i="16"/>
  <c r="X76" i="16"/>
  <c r="X126" i="16"/>
  <c r="X72" i="16"/>
  <c r="X73" i="16"/>
  <c r="X28" i="16"/>
  <c r="X45" i="16"/>
  <c r="X16" i="16"/>
  <c r="X29" i="16"/>
  <c r="X41" i="16"/>
  <c r="X54" i="16"/>
  <c r="X66" i="16"/>
  <c r="X80" i="16"/>
  <c r="X92" i="16"/>
  <c r="X104" i="16"/>
  <c r="X117" i="16"/>
  <c r="X130" i="16"/>
  <c r="X142" i="16"/>
  <c r="X155" i="16"/>
  <c r="X167" i="16"/>
  <c r="X180" i="16"/>
  <c r="X192" i="16"/>
  <c r="X204" i="16"/>
  <c r="X43" i="16"/>
  <c r="X68" i="16"/>
  <c r="X94" i="16"/>
  <c r="X119" i="16"/>
  <c r="X144" i="16"/>
  <c r="X169" i="16"/>
  <c r="X194" i="16"/>
  <c r="X112" i="16"/>
  <c r="X166" i="16"/>
  <c r="X17" i="16"/>
  <c r="X30" i="16"/>
  <c r="X42" i="16"/>
  <c r="X55" i="16"/>
  <c r="X67" i="16"/>
  <c r="X81" i="16"/>
  <c r="X93" i="16"/>
  <c r="X105" i="16"/>
  <c r="X118" i="16"/>
  <c r="X131" i="16"/>
  <c r="X143" i="16"/>
  <c r="X156" i="16"/>
  <c r="X168" i="16"/>
  <c r="X181" i="16"/>
  <c r="X193" i="16"/>
  <c r="X205" i="16"/>
  <c r="X31" i="16"/>
  <c r="X56" i="16"/>
  <c r="X82" i="16"/>
  <c r="X106" i="16"/>
  <c r="X132" i="16"/>
  <c r="X157" i="16"/>
  <c r="X182" i="16"/>
  <c r="X206" i="16"/>
  <c r="X99" i="16"/>
  <c r="X18" i="16"/>
  <c r="X19" i="16"/>
  <c r="X32" i="16"/>
  <c r="X44" i="16"/>
  <c r="X57" i="16"/>
  <c r="X69" i="16"/>
  <c r="X83" i="16"/>
  <c r="X95" i="16"/>
  <c r="X107" i="16"/>
  <c r="X120" i="16"/>
  <c r="X133" i="16"/>
  <c r="X145" i="16"/>
  <c r="X158" i="16"/>
  <c r="X170" i="16"/>
  <c r="X183" i="16"/>
  <c r="X195" i="16"/>
  <c r="X207" i="16"/>
  <c r="X111" i="16"/>
  <c r="X148" i="16"/>
  <c r="X198" i="16"/>
  <c r="X36" i="16"/>
  <c r="X87" i="16"/>
  <c r="X149" i="16"/>
  <c r="X174" i="16"/>
  <c r="X199" i="16"/>
  <c r="X8" i="16"/>
  <c r="X20" i="16"/>
  <c r="X33" i="16"/>
  <c r="X46" i="16"/>
  <c r="X58" i="16"/>
  <c r="X70" i="16"/>
  <c r="X84" i="16"/>
  <c r="X96" i="16"/>
  <c r="X121" i="16"/>
  <c r="X134" i="16"/>
  <c r="X146" i="16"/>
  <c r="X159" i="16"/>
  <c r="X171" i="16"/>
  <c r="X184" i="16"/>
  <c r="X196" i="16"/>
  <c r="X208" i="16"/>
  <c r="X60" i="16"/>
  <c r="X86" i="16"/>
  <c r="X98" i="16"/>
  <c r="X136" i="16"/>
  <c r="X161" i="16"/>
  <c r="X186" i="16"/>
  <c r="X23" i="16"/>
  <c r="X75" i="16"/>
  <c r="X137" i="16"/>
  <c r="X187" i="16"/>
  <c r="X203" i="16"/>
  <c r="X9" i="16"/>
  <c r="X21" i="16"/>
  <c r="X34" i="16"/>
  <c r="X47" i="16"/>
  <c r="X59" i="16"/>
  <c r="X71" i="16"/>
  <c r="X85" i="16"/>
  <c r="X97" i="16"/>
  <c r="X110" i="16"/>
  <c r="X122" i="16"/>
  <c r="X135" i="16"/>
  <c r="X147" i="16"/>
  <c r="X160" i="16"/>
  <c r="X172" i="16"/>
  <c r="X185" i="16"/>
  <c r="X197" i="16"/>
  <c r="X209" i="16"/>
  <c r="X48" i="16"/>
  <c r="X123" i="16"/>
  <c r="X173" i="16"/>
  <c r="X210" i="16"/>
  <c r="X49" i="16"/>
  <c r="X61" i="16"/>
  <c r="X124" i="16"/>
  <c r="X162" i="16"/>
  <c r="X211" i="16"/>
  <c r="X191" i="16"/>
  <c r="X10" i="16"/>
  <c r="X22" i="16"/>
  <c r="X35" i="16"/>
  <c r="X153" i="16"/>
  <c r="X12" i="16"/>
  <c r="X24" i="16"/>
  <c r="X37" i="16"/>
  <c r="X50" i="16"/>
  <c r="X62" i="16"/>
  <c r="X88" i="16"/>
  <c r="X100" i="16"/>
  <c r="X113" i="16"/>
  <c r="X125" i="16"/>
  <c r="X138" i="16"/>
  <c r="X150" i="16"/>
  <c r="X163" i="16"/>
  <c r="X176" i="16"/>
  <c r="X188" i="16"/>
  <c r="X200" i="16"/>
  <c r="X212" i="16"/>
  <c r="X26" i="16"/>
  <c r="X39" i="16"/>
  <c r="X64" i="16"/>
  <c r="X78" i="16"/>
  <c r="X102" i="16"/>
  <c r="X128" i="16"/>
  <c r="X152" i="16"/>
  <c r="X178" i="16"/>
  <c r="X202" i="16"/>
  <c r="X27" i="16"/>
  <c r="X40" i="16"/>
  <c r="X53" i="16"/>
  <c r="X65" i="16"/>
  <c r="X79" i="16"/>
  <c r="X91" i="16"/>
  <c r="X103" i="16"/>
  <c r="X116" i="16"/>
  <c r="X129" i="16"/>
  <c r="X141" i="16"/>
  <c r="X179" i="16"/>
  <c r="X13" i="16"/>
  <c r="X25" i="16"/>
  <c r="X38" i="16"/>
  <c r="X51" i="16"/>
  <c r="X63" i="16"/>
  <c r="X77" i="16"/>
  <c r="X89" i="16"/>
  <c r="X101" i="16"/>
  <c r="X114" i="16"/>
  <c r="X127" i="16"/>
  <c r="X139" i="16"/>
  <c r="X151" i="16"/>
  <c r="X164" i="16"/>
  <c r="X177" i="16"/>
  <c r="X189" i="16"/>
  <c r="X201" i="16"/>
  <c r="X52" i="16"/>
  <c r="X90" i="16"/>
  <c r="X115" i="16"/>
  <c r="X140" i="16"/>
  <c r="X165" i="16"/>
  <c r="X190" i="16"/>
  <c r="X14" i="16"/>
  <c r="X15" i="16"/>
  <c r="V13" i="16"/>
  <c r="V209" i="16" l="1"/>
  <c r="V205" i="16"/>
  <c r="V198" i="16"/>
  <c r="V195" i="16"/>
  <c r="V193" i="16"/>
  <c r="V183" i="16"/>
  <c r="V181" i="16"/>
  <c r="V177" i="16"/>
  <c r="V171" i="16"/>
  <c r="V151" i="16"/>
  <c r="V137" i="16"/>
  <c r="V75" i="16"/>
  <c r="V61" i="16"/>
  <c r="V43" i="16"/>
  <c r="V25" i="16"/>
  <c r="V16" i="16"/>
  <c r="V11" i="16"/>
  <c r="V7" i="16"/>
  <c r="V6" i="16" l="1"/>
  <c r="U137" i="16" l="1"/>
  <c r="U177" i="16"/>
  <c r="G7" i="16"/>
  <c r="H7" i="16"/>
  <c r="I7" i="16"/>
  <c r="J7" i="16"/>
  <c r="K7" i="16"/>
  <c r="L7" i="16"/>
  <c r="M7" i="16"/>
  <c r="N7" i="16"/>
  <c r="O7" i="16"/>
  <c r="P7" i="16"/>
  <c r="Q7" i="16"/>
  <c r="R7" i="16"/>
  <c r="S7" i="16"/>
  <c r="T7" i="16"/>
  <c r="U7" i="16"/>
  <c r="R11" i="16"/>
  <c r="S11" i="16"/>
  <c r="T11" i="16"/>
  <c r="U11" i="16"/>
  <c r="G13" i="16"/>
  <c r="H13" i="16"/>
  <c r="I13" i="16"/>
  <c r="J13" i="16"/>
  <c r="K13" i="16"/>
  <c r="L13" i="16"/>
  <c r="M13" i="16"/>
  <c r="N13" i="16"/>
  <c r="O13" i="16"/>
  <c r="P13" i="16"/>
  <c r="Q13" i="16"/>
  <c r="R13" i="16"/>
  <c r="S13" i="16"/>
  <c r="T13" i="16"/>
  <c r="U13" i="16"/>
  <c r="G16" i="16"/>
  <c r="H16" i="16"/>
  <c r="I16" i="16"/>
  <c r="J16" i="16"/>
  <c r="K16" i="16"/>
  <c r="L16" i="16"/>
  <c r="M16" i="16"/>
  <c r="N16" i="16"/>
  <c r="O16" i="16"/>
  <c r="P16" i="16"/>
  <c r="Q16" i="16"/>
  <c r="R16" i="16"/>
  <c r="S16" i="16"/>
  <c r="T16" i="16"/>
  <c r="U16" i="16"/>
  <c r="G25" i="16"/>
  <c r="H25" i="16"/>
  <c r="I25" i="16"/>
  <c r="J25" i="16"/>
  <c r="K25" i="16"/>
  <c r="L25" i="16"/>
  <c r="M25" i="16"/>
  <c r="N25" i="16"/>
  <c r="O25" i="16"/>
  <c r="P25" i="16"/>
  <c r="Q25" i="16"/>
  <c r="R25" i="16"/>
  <c r="S25" i="16"/>
  <c r="T25" i="16"/>
  <c r="U25" i="16"/>
  <c r="G43" i="16"/>
  <c r="H43" i="16"/>
  <c r="I43" i="16"/>
  <c r="J43" i="16"/>
  <c r="K43" i="16"/>
  <c r="L43" i="16"/>
  <c r="M43" i="16"/>
  <c r="N43" i="16"/>
  <c r="O43" i="16"/>
  <c r="P43" i="16"/>
  <c r="Q43" i="16"/>
  <c r="R43" i="16"/>
  <c r="S43" i="16"/>
  <c r="T43" i="16"/>
  <c r="U43" i="16"/>
  <c r="G61" i="16"/>
  <c r="H61" i="16"/>
  <c r="I61" i="16"/>
  <c r="J61" i="16"/>
  <c r="K61" i="16"/>
  <c r="L61" i="16"/>
  <c r="M61" i="16"/>
  <c r="N61" i="16"/>
  <c r="O61" i="16"/>
  <c r="P61" i="16"/>
  <c r="Q61" i="16"/>
  <c r="R61" i="16"/>
  <c r="S61" i="16"/>
  <c r="T61" i="16"/>
  <c r="U61" i="16"/>
  <c r="G75" i="16"/>
  <c r="H75" i="16"/>
  <c r="I75" i="16"/>
  <c r="J75" i="16"/>
  <c r="K75" i="16"/>
  <c r="L75" i="16"/>
  <c r="M75" i="16"/>
  <c r="N75" i="16"/>
  <c r="O75" i="16"/>
  <c r="P75" i="16"/>
  <c r="Q75" i="16"/>
  <c r="R75" i="16"/>
  <c r="S75" i="16"/>
  <c r="T75" i="16"/>
  <c r="U75" i="16"/>
  <c r="G137" i="16"/>
  <c r="H137" i="16"/>
  <c r="I137" i="16"/>
  <c r="J137" i="16"/>
  <c r="K137" i="16"/>
  <c r="L137" i="16"/>
  <c r="M137" i="16"/>
  <c r="N137" i="16"/>
  <c r="O137" i="16"/>
  <c r="P137" i="16"/>
  <c r="Q137" i="16"/>
  <c r="R137" i="16"/>
  <c r="S137" i="16"/>
  <c r="T137" i="16"/>
  <c r="G151" i="16"/>
  <c r="H151" i="16"/>
  <c r="I151" i="16"/>
  <c r="J151" i="16"/>
  <c r="K151" i="16"/>
  <c r="L151" i="16"/>
  <c r="M151" i="16"/>
  <c r="N151" i="16"/>
  <c r="O151" i="16"/>
  <c r="P151" i="16"/>
  <c r="Q151" i="16"/>
  <c r="R151" i="16"/>
  <c r="S151" i="16"/>
  <c r="T151" i="16"/>
  <c r="U151" i="16"/>
  <c r="G171" i="16"/>
  <c r="H171" i="16"/>
  <c r="I171" i="16"/>
  <c r="J171" i="16"/>
  <c r="K171" i="16"/>
  <c r="L171" i="16"/>
  <c r="M171" i="16"/>
  <c r="N171" i="16"/>
  <c r="O171" i="16"/>
  <c r="P171" i="16"/>
  <c r="Q171" i="16"/>
  <c r="R171" i="16"/>
  <c r="S171" i="16"/>
  <c r="T171" i="16"/>
  <c r="U171" i="16"/>
  <c r="G177" i="16"/>
  <c r="H177" i="16"/>
  <c r="I177" i="16"/>
  <c r="J177" i="16"/>
  <c r="K177" i="16"/>
  <c r="L177" i="16"/>
  <c r="M177" i="16"/>
  <c r="N177" i="16"/>
  <c r="O177" i="16"/>
  <c r="P177" i="16"/>
  <c r="Q177" i="16"/>
  <c r="R177" i="16"/>
  <c r="S177" i="16"/>
  <c r="T177" i="16"/>
  <c r="G181" i="16"/>
  <c r="H181" i="16"/>
  <c r="I181" i="16"/>
  <c r="J181" i="16"/>
  <c r="K181" i="16"/>
  <c r="L181" i="16"/>
  <c r="M181" i="16"/>
  <c r="N181" i="16"/>
  <c r="O181" i="16"/>
  <c r="P181" i="16"/>
  <c r="Q181" i="16"/>
  <c r="R181" i="16"/>
  <c r="S181" i="16"/>
  <c r="T181" i="16"/>
  <c r="U181" i="16"/>
  <c r="G183" i="16"/>
  <c r="H183" i="16"/>
  <c r="I183" i="16"/>
  <c r="J183" i="16"/>
  <c r="K183" i="16"/>
  <c r="L183" i="16"/>
  <c r="M183" i="16"/>
  <c r="N183" i="16"/>
  <c r="O183" i="16"/>
  <c r="P183" i="16"/>
  <c r="Q183" i="16"/>
  <c r="R183" i="16"/>
  <c r="S183" i="16"/>
  <c r="T183" i="16"/>
  <c r="U183" i="16"/>
  <c r="M193" i="16"/>
  <c r="N193" i="16"/>
  <c r="O193" i="16"/>
  <c r="P193" i="16"/>
  <c r="Q193" i="16"/>
  <c r="R193" i="16"/>
  <c r="S193" i="16"/>
  <c r="T193" i="16"/>
  <c r="U193" i="16"/>
  <c r="K195" i="16"/>
  <c r="L195" i="16"/>
  <c r="M195" i="16"/>
  <c r="N195" i="16"/>
  <c r="O195" i="16"/>
  <c r="P195" i="16"/>
  <c r="Q195" i="16"/>
  <c r="R195" i="16"/>
  <c r="S195" i="16"/>
  <c r="T195" i="16"/>
  <c r="U195" i="16"/>
  <c r="I198" i="16"/>
  <c r="J198" i="16"/>
  <c r="K198" i="16"/>
  <c r="L198" i="16"/>
  <c r="M198" i="16"/>
  <c r="N198" i="16"/>
  <c r="O198" i="16"/>
  <c r="P198" i="16"/>
  <c r="Q198" i="16"/>
  <c r="R198" i="16"/>
  <c r="S198" i="16"/>
  <c r="T198" i="16"/>
  <c r="U198" i="16"/>
  <c r="K205" i="16"/>
  <c r="L205" i="16"/>
  <c r="M205" i="16"/>
  <c r="N205" i="16"/>
  <c r="O205" i="16"/>
  <c r="P205" i="16"/>
  <c r="Q205" i="16"/>
  <c r="R205" i="16"/>
  <c r="S205" i="16"/>
  <c r="T205" i="16"/>
  <c r="U205" i="16"/>
  <c r="G209" i="16"/>
  <c r="H209" i="16"/>
  <c r="I209" i="16"/>
  <c r="J209" i="16"/>
  <c r="K209" i="16"/>
  <c r="L209" i="16"/>
  <c r="M209" i="16"/>
  <c r="N209" i="16"/>
  <c r="O209" i="16"/>
  <c r="P209" i="16"/>
  <c r="Q209" i="16"/>
  <c r="R209" i="16"/>
  <c r="S209" i="16"/>
  <c r="T209" i="16"/>
  <c r="U209" i="16"/>
  <c r="P6" i="16" l="1"/>
  <c r="O6" i="16"/>
  <c r="N6" i="16"/>
  <c r="L6" i="16"/>
  <c r="R6" i="16"/>
  <c r="M6" i="16"/>
  <c r="K6" i="16"/>
  <c r="Q6" i="16"/>
  <c r="J6" i="16"/>
  <c r="I6" i="16"/>
  <c r="H6" i="16"/>
  <c r="U6" i="16"/>
  <c r="G6" i="16"/>
  <c r="T6" i="16"/>
  <c r="S6" i="1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Sharmeela</author>
    <author>Hasaanaa Hassan</author>
  </authors>
  <commentList>
    <comment ref="T8" authorId="0" shapeId="0" xr:uid="{00000000-0006-0000-0C00-000001000000}">
      <text>
        <r>
          <rPr>
            <sz val="9"/>
            <color indexed="81"/>
            <rFont val="Tahoma"/>
            <family val="2"/>
          </rPr>
          <t xml:space="preserve">
License cancelled/expired</t>
        </r>
      </text>
    </comment>
    <comment ref="U8" authorId="0" shapeId="0" xr:uid="{63B79F52-658A-4F09-86F0-214785A8C659}">
      <text>
        <r>
          <rPr>
            <sz val="9"/>
            <color indexed="81"/>
            <rFont val="Tahoma"/>
            <family val="2"/>
          </rPr>
          <t xml:space="preserve">
License cancelled/expired</t>
        </r>
      </text>
    </comment>
    <comment ref="V8" authorId="0" shapeId="0" xr:uid="{D54098FD-217D-4A66-B356-3EE8BFAE8D31}">
      <text>
        <r>
          <rPr>
            <sz val="9"/>
            <color indexed="81"/>
            <rFont val="Tahoma"/>
            <family val="2"/>
          </rPr>
          <t xml:space="preserve">
License cancelled/expired</t>
        </r>
      </text>
    </comment>
    <comment ref="T39" authorId="0" shapeId="0" xr:uid="{00000000-0006-0000-0C00-000002000000}">
      <text>
        <r>
          <rPr>
            <sz val="9"/>
            <color indexed="81"/>
            <rFont val="Tahoma"/>
            <family val="2"/>
          </rPr>
          <t xml:space="preserve">
License cancelled/expired</t>
        </r>
      </text>
    </comment>
    <comment ref="T83" authorId="0" shapeId="0" xr:uid="{00000000-0006-0000-0C00-000003000000}">
      <text>
        <r>
          <rPr>
            <sz val="9"/>
            <color indexed="81"/>
            <rFont val="Tahoma"/>
            <family val="2"/>
          </rPr>
          <t xml:space="preserve">
License cancelled/expired</t>
        </r>
      </text>
    </comment>
    <comment ref="U83" authorId="1" shapeId="0" xr:uid="{B9AB81B0-8BA0-4F00-8985-BDFFE879F42D}">
      <text>
        <r>
          <rPr>
            <sz val="9"/>
            <color indexed="81"/>
            <rFont val="Tahoma"/>
            <family val="2"/>
          </rPr>
          <t xml:space="preserve">
License cancelled</t>
        </r>
      </text>
    </comment>
    <comment ref="V83" authorId="1" shapeId="0" xr:uid="{E8585329-E2D1-4844-9EC9-BBD672AA7B1A}">
      <text>
        <r>
          <rPr>
            <sz val="9"/>
            <color indexed="81"/>
            <rFont val="Tahoma"/>
            <family val="2"/>
          </rPr>
          <t xml:space="preserve">
License cancelled</t>
        </r>
      </text>
    </comment>
    <comment ref="T94" authorId="0" shapeId="0" xr:uid="{00000000-0006-0000-0C00-000004000000}">
      <text>
        <r>
          <rPr>
            <sz val="9"/>
            <color indexed="81"/>
            <rFont val="Tahoma"/>
            <family val="2"/>
          </rPr>
          <t xml:space="preserve">
License cancelled/expired</t>
        </r>
      </text>
    </comment>
    <comment ref="U94" authorId="1" shapeId="0" xr:uid="{6C0C8398-38F9-4432-8BBE-F3F33C15E960}">
      <text>
        <r>
          <rPr>
            <sz val="9"/>
            <color indexed="81"/>
            <rFont val="Tahoma"/>
            <family val="2"/>
          </rPr>
          <t xml:space="preserve">
License cancelled</t>
        </r>
      </text>
    </comment>
    <comment ref="V94" authorId="1" shapeId="0" xr:uid="{FE169E77-428D-468F-97CD-52DDD1445C88}">
      <text>
        <r>
          <rPr>
            <sz val="9"/>
            <color indexed="81"/>
            <rFont val="Tahoma"/>
            <family val="2"/>
          </rPr>
          <t xml:space="preserve">
License cancelled</t>
        </r>
      </text>
    </comment>
    <comment ref="T96" authorId="0" shapeId="0" xr:uid="{00000000-0006-0000-0C00-000005000000}">
      <text>
        <r>
          <rPr>
            <sz val="9"/>
            <color indexed="81"/>
            <rFont val="Tahoma"/>
            <family val="2"/>
          </rPr>
          <t xml:space="preserve">
License cancelled/expired</t>
        </r>
      </text>
    </comment>
    <comment ref="U96" authorId="1" shapeId="0" xr:uid="{52765B56-EBD6-4222-85BE-3FAA92E48508}">
      <text>
        <r>
          <rPr>
            <sz val="9"/>
            <color indexed="81"/>
            <rFont val="Tahoma"/>
            <family val="2"/>
          </rPr>
          <t xml:space="preserve">
License cancelled</t>
        </r>
      </text>
    </comment>
    <comment ref="V96" authorId="1" shapeId="0" xr:uid="{1F6BF3E5-691E-493E-8066-2FBB2B1EB46D}">
      <text>
        <r>
          <rPr>
            <sz val="9"/>
            <color indexed="81"/>
            <rFont val="Tahoma"/>
            <family val="2"/>
          </rPr>
          <t xml:space="preserve">
License cancelled</t>
        </r>
      </text>
    </comment>
    <comment ref="T144" authorId="0" shapeId="0" xr:uid="{00000000-0006-0000-0C00-000006000000}">
      <text>
        <r>
          <rPr>
            <sz val="9"/>
            <color indexed="81"/>
            <rFont val="Tahoma"/>
            <family val="2"/>
          </rPr>
          <t xml:space="preserve">
License cancelled/expiredLicense </t>
        </r>
      </text>
    </comment>
    <comment ref="V144" authorId="1" shapeId="0" xr:uid="{AF678D41-219A-4876-89C9-D5608E80398E}">
      <text>
        <r>
          <rPr>
            <sz val="9"/>
            <color indexed="81"/>
            <rFont val="Tahoma"/>
            <family val="2"/>
          </rPr>
          <t xml:space="preserve">
License cancelled</t>
        </r>
      </text>
    </comment>
    <comment ref="T148" authorId="0" shapeId="0" xr:uid="{00000000-0006-0000-0C00-000007000000}">
      <text>
        <r>
          <rPr>
            <sz val="9"/>
            <color indexed="81"/>
            <rFont val="Tahoma"/>
            <family val="2"/>
          </rPr>
          <t xml:space="preserve">
License cancelled/expired</t>
        </r>
      </text>
    </comment>
    <comment ref="U148" authorId="1" shapeId="0" xr:uid="{7636C100-0220-4EE7-93B9-1A09E2C14D02}">
      <text>
        <r>
          <rPr>
            <sz val="9"/>
            <color indexed="81"/>
            <rFont val="Tahoma"/>
            <family val="2"/>
          </rPr>
          <t xml:space="preserve">
License cancelled</t>
        </r>
      </text>
    </comment>
    <comment ref="V148" authorId="1" shapeId="0" xr:uid="{2F0B78F3-A2DE-42C3-A514-2FF04B99DC8D}">
      <text>
        <r>
          <rPr>
            <sz val="9"/>
            <color indexed="81"/>
            <rFont val="Tahoma"/>
            <family val="2"/>
          </rPr>
          <t xml:space="preserve">
License cancelled</t>
        </r>
      </text>
    </comment>
    <comment ref="T167" authorId="0" shapeId="0" xr:uid="{00000000-0006-0000-0C00-000008000000}">
      <text>
        <r>
          <rPr>
            <sz val="9"/>
            <color indexed="81"/>
            <rFont val="Tahoma"/>
            <family val="2"/>
          </rPr>
          <t xml:space="preserve">
License cancelled/expired</t>
        </r>
      </text>
    </comment>
    <comment ref="U167" authorId="1" shapeId="0" xr:uid="{7A06C444-0298-4560-96CF-F6E9E3101BFD}">
      <text>
        <r>
          <rPr>
            <sz val="9"/>
            <color indexed="81"/>
            <rFont val="Tahoma"/>
            <family val="2"/>
          </rPr>
          <t xml:space="preserve">
License cancelled</t>
        </r>
      </text>
    </comment>
    <comment ref="V167" authorId="1" shapeId="0" xr:uid="{2109F8D1-CEB0-4C04-BD72-838760FFC914}">
      <text>
        <r>
          <rPr>
            <sz val="9"/>
            <color indexed="81"/>
            <rFont val="Tahoma"/>
            <family val="2"/>
          </rPr>
          <t xml:space="preserve">
License cancelled</t>
        </r>
      </text>
    </comment>
  </commentList>
</comments>
</file>

<file path=xl/sharedStrings.xml><?xml version="1.0" encoding="utf-8"?>
<sst xmlns="http://schemas.openxmlformats.org/spreadsheetml/2006/main" count="1558" uniqueCount="445">
  <si>
    <t>2012</t>
  </si>
  <si>
    <t>2013</t>
  </si>
  <si>
    <t>2014</t>
  </si>
  <si>
    <t>2016</t>
  </si>
  <si>
    <t>2017</t>
  </si>
  <si>
    <t>2018</t>
  </si>
  <si>
    <t>2008</t>
  </si>
  <si>
    <t>-</t>
  </si>
  <si>
    <t>Source: Ministry of Tourism</t>
  </si>
  <si>
    <t>Resorts</t>
  </si>
  <si>
    <t xml:space="preserve">% Share </t>
  </si>
  <si>
    <t>North Thiladhunmathi Atoll (HA)</t>
  </si>
  <si>
    <t>North Miladhunmadulu Atoll (Sh)</t>
  </si>
  <si>
    <t>South Miladhunmadulu Atoll (N)</t>
  </si>
  <si>
    <t>North Maalhosmadulu (R)</t>
  </si>
  <si>
    <t>South Maalhosmadulu (B)</t>
  </si>
  <si>
    <t>Faadhippolhu (Lh)</t>
  </si>
  <si>
    <t>Male' Atoll (K)</t>
  </si>
  <si>
    <t>North Ari Atoll (AA)</t>
  </si>
  <si>
    <t>South Ari Atoll (ADh)</t>
  </si>
  <si>
    <t>Felidhu Atoll (V)</t>
  </si>
  <si>
    <t>Mulakatholhu (M)</t>
  </si>
  <si>
    <t>North Nilandhe Atoll (F)</t>
  </si>
  <si>
    <t>South Nilandhe Atoll (D)</t>
  </si>
  <si>
    <t>Thaa Atoll (Th)</t>
  </si>
  <si>
    <t>Laamu Atoll (L)</t>
  </si>
  <si>
    <t>North Huvadhu Atoll (GA)</t>
  </si>
  <si>
    <t>South Huvadhu Atoll (GDh)</t>
  </si>
  <si>
    <t>Addu Atoll (S)</t>
  </si>
  <si>
    <t xml:space="preserve">Year of Initial </t>
  </si>
  <si>
    <t>Initial Bed</t>
  </si>
  <si>
    <t>Distance from</t>
  </si>
  <si>
    <t>Bed Capacity  (end year)*</t>
  </si>
  <si>
    <t>Operation</t>
  </si>
  <si>
    <t>Capacity</t>
  </si>
  <si>
    <t>Airport (in Km)</t>
  </si>
  <si>
    <t>All Resorts</t>
  </si>
  <si>
    <t>Hideaway Beach Resort and Spa at Dhonakulhi Island Maldives</t>
  </si>
  <si>
    <t>North Thiladhunmathi Atoll (H.Dh)</t>
  </si>
  <si>
    <t>na</t>
  </si>
  <si>
    <t xml:space="preserve">Mövenpick Resort Kuredhivaru Maldives </t>
  </si>
  <si>
    <t>Dhigali Maldives</t>
  </si>
  <si>
    <t>Furaveri Island Resort &amp; Spa</t>
  </si>
  <si>
    <t>Joali Muravandhoo (Muravandhoo)</t>
  </si>
  <si>
    <t>Four Seasons Resort Maldives at Landaa Giraavaru</t>
  </si>
  <si>
    <t>2006</t>
  </si>
  <si>
    <t>1999</t>
  </si>
  <si>
    <t>Reethi Beach Resort</t>
  </si>
  <si>
    <t>Royal Island Resort &amp; Spa</t>
  </si>
  <si>
    <t>Soneva Fushi By Six Senses</t>
  </si>
  <si>
    <t xml:space="preserve">     1983</t>
  </si>
  <si>
    <t>Komandoo Maldive Island Resort</t>
  </si>
  <si>
    <t xml:space="preserve">     1978</t>
  </si>
  <si>
    <t xml:space="preserve">     1979</t>
  </si>
  <si>
    <t xml:space="preserve">     1980</t>
  </si>
  <si>
    <t>Asdhu Sun Island</t>
  </si>
  <si>
    <t xml:space="preserve">     1981</t>
  </si>
  <si>
    <t xml:space="preserve">     1972</t>
  </si>
  <si>
    <t>Banyan Tree Maldives Vabbinfaru</t>
  </si>
  <si>
    <t xml:space="preserve">     1977</t>
  </si>
  <si>
    <t xml:space="preserve">     1973</t>
  </si>
  <si>
    <t xml:space="preserve">     1982</t>
  </si>
  <si>
    <t>Cinnamon Dhonveli Maldives</t>
  </si>
  <si>
    <t>Club Med Kanifinolhu</t>
  </si>
  <si>
    <t xml:space="preserve">Coco Privé Kuda Hithi Island </t>
  </si>
  <si>
    <t>1984</t>
  </si>
  <si>
    <t>Cocoa Island</t>
  </si>
  <si>
    <t>Dream Island Maldives</t>
  </si>
  <si>
    <t>Four Seasons Resort Maldives at Kuda Huraa</t>
  </si>
  <si>
    <t>1977</t>
  </si>
  <si>
    <t>Fun Island Resort</t>
  </si>
  <si>
    <t xml:space="preserve">     1985</t>
  </si>
  <si>
    <t>Huvafenfushi</t>
  </si>
  <si>
    <t>Kurumba Maldives</t>
  </si>
  <si>
    <t>Meeru Island Resort</t>
  </si>
  <si>
    <t>Oblu By Atmosphere at Helengeli</t>
  </si>
  <si>
    <t>Paradise Island Resort &amp; Spa</t>
  </si>
  <si>
    <t>Gili Lankanfushi</t>
  </si>
  <si>
    <t>Summer Island Maldives</t>
  </si>
  <si>
    <t>Taj Exortica Resort &amp; Spa Maldives</t>
  </si>
  <si>
    <t>Thulhaagiri Island Resort</t>
  </si>
  <si>
    <t xml:space="preserve">     1974</t>
  </si>
  <si>
    <t>Vivanta by Taj - Coral Reef, Maldives</t>
  </si>
  <si>
    <t>Constance Halaveli Resort</t>
  </si>
  <si>
    <t>Ellaidhoo Maldives By Cinnamon</t>
  </si>
  <si>
    <t>Gangehi Island Resort</t>
  </si>
  <si>
    <t xml:space="preserve">     1987</t>
  </si>
  <si>
    <t>Kandholhu Island Maldives</t>
  </si>
  <si>
    <t>Kuramathi Maldives</t>
  </si>
  <si>
    <t>Maayafushi Tourist Resort</t>
  </si>
  <si>
    <t>Madoogali Resort</t>
  </si>
  <si>
    <t xml:space="preserve">     1989</t>
  </si>
  <si>
    <t>Nika Island Resort</t>
  </si>
  <si>
    <t>Veligandu Island</t>
  </si>
  <si>
    <t xml:space="preserve">     1984</t>
  </si>
  <si>
    <t>Angaaga Island Resort and Spa</t>
  </si>
  <si>
    <t xml:space="preserve">     1990</t>
  </si>
  <si>
    <t>Centara Grand Island Resort &amp; Spa Maldives</t>
  </si>
  <si>
    <t xml:space="preserve">  1992</t>
  </si>
  <si>
    <t>Constance Moofushi Resort</t>
  </si>
  <si>
    <t>Holiday Island</t>
  </si>
  <si>
    <t>Lily Beach Resort</t>
  </si>
  <si>
    <t>Mirihi Island Resort</t>
  </si>
  <si>
    <t xml:space="preserve">     1991</t>
  </si>
  <si>
    <t>Vakarufalhi Island Resort</t>
  </si>
  <si>
    <t>Vilamendhoo Island Resort</t>
  </si>
  <si>
    <t>Alimatha Aquatic Resort</t>
  </si>
  <si>
    <t xml:space="preserve">     1975</t>
  </si>
  <si>
    <t>Dhiggiri Tourist Resort</t>
  </si>
  <si>
    <t>Cinnamon Hakuraa Huraa Maldives</t>
  </si>
  <si>
    <t>Medhufushi Island Resort</t>
  </si>
  <si>
    <t xml:space="preserve">Filitheyo Island Resort </t>
  </si>
  <si>
    <t>* Resorts beds include marinas</t>
  </si>
  <si>
    <t xml:space="preserve">                                    </t>
  </si>
  <si>
    <t>2019</t>
  </si>
  <si>
    <t>Emerald Maldives Resort &amp; Spa Fasmendhoo</t>
  </si>
  <si>
    <t>Inter Continental Maldives Maamunagau</t>
  </si>
  <si>
    <t xml:space="preserve">JW Marriott Maldives Resort &amp; Spa </t>
  </si>
  <si>
    <t xml:space="preserve">Pullman Maldives Maamutaa Resort </t>
  </si>
  <si>
    <t xml:space="preserve">Rahaa Resort  </t>
  </si>
  <si>
    <t xml:space="preserve">South Palm Resort Maldives </t>
  </si>
  <si>
    <t>The Marina at Crossroads Maldives</t>
  </si>
  <si>
    <t xml:space="preserve">The Residence Maldives At Dhigurah </t>
  </si>
  <si>
    <t xml:space="preserve">Waldorf Astoria Maldives Ithaafushi </t>
  </si>
  <si>
    <t>Alidhoo Island Resort</t>
  </si>
  <si>
    <t>JA Manafaru</t>
  </si>
  <si>
    <t xml:space="preserve">Hondaafushi Island Resort </t>
  </si>
  <si>
    <t xml:space="preserve">Sirru Fen Fushi </t>
  </si>
  <si>
    <t>Cheval Blanc Randheli</t>
  </si>
  <si>
    <t>Noku Maldives</t>
  </si>
  <si>
    <t>Soneva Jani</t>
  </si>
  <si>
    <t>The Sun Siyam Iru Fushi Maldives</t>
  </si>
  <si>
    <t>Velaa Private Island</t>
  </si>
  <si>
    <t>Adhaaran Select Meedhupparu</t>
  </si>
  <si>
    <t>Heritance Aarah</t>
  </si>
  <si>
    <t xml:space="preserve">Kudafushi Resort &amp; Spa </t>
  </si>
  <si>
    <t xml:space="preserve">Reethi Faru Resort </t>
  </si>
  <si>
    <t>You &amp; Me By Cocoon</t>
  </si>
  <si>
    <t>Anantara Kihavah Villas</t>
  </si>
  <si>
    <t>Coco Palm Dhunikolhu</t>
  </si>
  <si>
    <t>Dhigufaru Island Resort</t>
  </si>
  <si>
    <t>Dusit Thani Maldives</t>
  </si>
  <si>
    <t>Finolhu Baa Atoll Maldives</t>
  </si>
  <si>
    <t>Four Seasons Private Island Maldives at Voavah</t>
  </si>
  <si>
    <t>Milaidhoo Island Maldives</t>
  </si>
  <si>
    <t>The Nautilus Maldives</t>
  </si>
  <si>
    <t xml:space="preserve">The Westin Maldives Miriandhoo Resort </t>
  </si>
  <si>
    <t xml:space="preserve">Vakkaru Maldives </t>
  </si>
  <si>
    <t>Atmosphere Kanifushi Maldives</t>
  </si>
  <si>
    <t>Cocoon Maldives</t>
  </si>
  <si>
    <t xml:space="preserve">Fushifaru Maldives </t>
  </si>
  <si>
    <t>Hurawalhi Island Resort</t>
  </si>
  <si>
    <t>Innahura Maldives Resort</t>
  </si>
  <si>
    <t>Kanuhura</t>
  </si>
  <si>
    <t xml:space="preserve">Kudadoo Maldives Private island </t>
  </si>
  <si>
    <t>Palm Beach Resort &amp; Spa Maldives</t>
  </si>
  <si>
    <t>Lh. Madhiriguraidhoo</t>
  </si>
  <si>
    <t>Adhaaran Club Rannaalhi</t>
  </si>
  <si>
    <t>K. Rannalhi</t>
  </si>
  <si>
    <t>Adhaaran Prestige Vaadhu</t>
  </si>
  <si>
    <t>K. Vaadhu</t>
  </si>
  <si>
    <t>Adhaaran Select Hudhuranfushi</t>
  </si>
  <si>
    <t>K. Lhohifushi</t>
  </si>
  <si>
    <t xml:space="preserve">Anantara Resort &amp; Spa Maldives </t>
  </si>
  <si>
    <t>K. Dhigufinolhu</t>
  </si>
  <si>
    <t xml:space="preserve">Angsana Resort &amp; Spa Maldives - Ihuru </t>
  </si>
  <si>
    <t>K. Ihuru</t>
  </si>
  <si>
    <t>K. Asdhu</t>
  </si>
  <si>
    <t xml:space="preserve">Bandos Maldives </t>
  </si>
  <si>
    <t>K. Bandos</t>
  </si>
  <si>
    <t>K. Vabbinfaru</t>
  </si>
  <si>
    <t>Baros Maldives</t>
  </si>
  <si>
    <t>K. Baros</t>
  </si>
  <si>
    <t>Biyaadhu Island Resort</t>
  </si>
  <si>
    <t>K. Biyaadhoo</t>
  </si>
  <si>
    <t>Centara Ras Fushi Resort &amp; Spa</t>
  </si>
  <si>
    <t>K. Giraavaru</t>
  </si>
  <si>
    <t>K. Kanuoiy Huraa</t>
  </si>
  <si>
    <t>Club Med Finolhu Villas</t>
  </si>
  <si>
    <t>K. Gasfinolhu</t>
  </si>
  <si>
    <t>K. Kanifinolhu</t>
  </si>
  <si>
    <t>K. Boduhithi</t>
  </si>
  <si>
    <t>K. Kudahithi</t>
  </si>
  <si>
    <t>K. Makunufushi</t>
  </si>
  <si>
    <t>K. Villivaru</t>
  </si>
  <si>
    <t xml:space="preserve">Emboodhu Village </t>
  </si>
  <si>
    <t>K. Emboodhu</t>
  </si>
  <si>
    <t>Eriyadhu Island Resort</t>
  </si>
  <si>
    <t>K. Eriyadhu</t>
  </si>
  <si>
    <t>Fihalhohi Island Resort</t>
  </si>
  <si>
    <t>K. Fihaalhohi</t>
  </si>
  <si>
    <t>K. Kuda Huraa</t>
  </si>
  <si>
    <t>K. Bodufinolhu</t>
  </si>
  <si>
    <t>K. Lankanfushi</t>
  </si>
  <si>
    <t>Grand Park Kohdhipparu Maldives</t>
  </si>
  <si>
    <t>K. Kohdhipparu</t>
  </si>
  <si>
    <t>Hard Rock Hotel Maldives</t>
  </si>
  <si>
    <t>Holiday Inn Resort Kandooma Maldives</t>
  </si>
  <si>
    <t>K. Kandoomafushi</t>
  </si>
  <si>
    <t>K. Nakatchafushi</t>
  </si>
  <si>
    <t>K. Bolifushi</t>
  </si>
  <si>
    <t>K. Vihamanaafushi</t>
  </si>
  <si>
    <t>K. Olhahali</t>
  </si>
  <si>
    <t>Makunudhoo Island</t>
  </si>
  <si>
    <t>K. Makunudhu</t>
  </si>
  <si>
    <t>Malahini Kuda Bandos</t>
  </si>
  <si>
    <t>K. Kuda Bandos</t>
  </si>
  <si>
    <t>K. Meerufenfushi</t>
  </si>
  <si>
    <t>K. Veligandu Huraa</t>
  </si>
  <si>
    <t>K. Helengeli</t>
  </si>
  <si>
    <t xml:space="preserve">Oblu Select by Atmosphere at Sangeli </t>
  </si>
  <si>
    <t>K. Akirifushi</t>
  </si>
  <si>
    <t>K. Olhuveli</t>
  </si>
  <si>
    <t>One &amp; Only Reethi Rah, Maldives</t>
  </si>
  <si>
    <t>K. Medhufinolhu</t>
  </si>
  <si>
    <t>Ozen by Atmosphere at Maadhoo</t>
  </si>
  <si>
    <t>K. Maadhoo Finolhu</t>
  </si>
  <si>
    <t>K. Lankanfinolhu</t>
  </si>
  <si>
    <t>K. Mahaanaelhi Huraa</t>
  </si>
  <si>
    <t>Saii Lagoon Maldives</t>
  </si>
  <si>
    <t>Sheraton Maldives Full Moon Reosort &amp; Spa</t>
  </si>
  <si>
    <t>K. Furanafushi</t>
  </si>
  <si>
    <t>K. Ziyaaraifushi</t>
  </si>
  <si>
    <t>K. Embudhu Finolhu</t>
  </si>
  <si>
    <t>K. Emboodhoofalhu</t>
  </si>
  <si>
    <t>K. Thulhaagiri</t>
  </si>
  <si>
    <t>K. Madivaru</t>
  </si>
  <si>
    <t>Velassaru Maldives</t>
  </si>
  <si>
    <t>K. Velassaru</t>
  </si>
  <si>
    <t>K. Hembadhoo</t>
  </si>
  <si>
    <t>K. Ithaafushi</t>
  </si>
  <si>
    <t>A.A. Bathala</t>
  </si>
  <si>
    <t>A.A. Halaveli</t>
  </si>
  <si>
    <t>A.A. Ellaidhoo</t>
  </si>
  <si>
    <t>A.A. Gangehi</t>
  </si>
  <si>
    <t>A.A. Kandholhudhoo</t>
  </si>
  <si>
    <t>A.A. Kuramathi</t>
  </si>
  <si>
    <t>A.A. Maayafushi</t>
  </si>
  <si>
    <t>A.A. Madoogali</t>
  </si>
  <si>
    <t>A.A. Kudafolhudhu</t>
  </si>
  <si>
    <t>Safari Island</t>
  </si>
  <si>
    <t>A.A. Mushimasmingili</t>
  </si>
  <si>
    <t>Velidhoo Island Resort</t>
  </si>
  <si>
    <t>A.A. Velidhoo</t>
  </si>
  <si>
    <t>A.A. Veligandu</t>
  </si>
  <si>
    <t>A.A. Fesdhu</t>
  </si>
  <si>
    <t>A.Dh. Angaga</t>
  </si>
  <si>
    <t xml:space="preserve">Diamonds Athuruga Beach and Water Villas </t>
  </si>
  <si>
    <t>A.Dh. Athurugau</t>
  </si>
  <si>
    <t>A.Dh. Machchafushi</t>
  </si>
  <si>
    <t>Conrad Maldives Rangali Island</t>
  </si>
  <si>
    <t>A.Dh. Rangalifinolhu</t>
  </si>
  <si>
    <t>A.Dh. Moofushi</t>
  </si>
  <si>
    <t>Drift Thelu Veliga Retreat</t>
  </si>
  <si>
    <t>A.Dh. Theluveliga</t>
  </si>
  <si>
    <t>A.Dh. Dhiffushi</t>
  </si>
  <si>
    <t>Amaya Kuda Rah Maldives (Kudarah Island Resort)</t>
  </si>
  <si>
    <t>A.Dh. Kudarah</t>
  </si>
  <si>
    <t>A.Dh. Huvahendhoo</t>
  </si>
  <si>
    <t>Lux South Ari Atoll, Maldives</t>
  </si>
  <si>
    <t>A.Dh. Dhidhdhufinolhu</t>
  </si>
  <si>
    <t>A.Dh. Mirihi</t>
  </si>
  <si>
    <t>Ranveli Island Resort</t>
  </si>
  <si>
    <t>A.Dh. Villingilivaru</t>
  </si>
  <si>
    <t xml:space="preserve">Sun Island Resort &amp; Spa </t>
  </si>
  <si>
    <t>A.Dh. Nalaguraidhoo</t>
  </si>
  <si>
    <t>Diamonds Thudufushi Beach &amp; Water Villas</t>
  </si>
  <si>
    <t>A.Dh. Thundufushi</t>
  </si>
  <si>
    <t>A.Dh. Maafushivaru</t>
  </si>
  <si>
    <t>A.Dh. Vakarufalhi</t>
  </si>
  <si>
    <t>A.Dh. Vilamendhoo</t>
  </si>
  <si>
    <t>V. Alimatha</t>
  </si>
  <si>
    <t>Cinnamon Velifushi Maldives</t>
  </si>
  <si>
    <t>V. Aarah</t>
  </si>
  <si>
    <t>V. Dhiggiri</t>
  </si>
  <si>
    <t>M. Hakuraa Huraa</t>
  </si>
  <si>
    <t>M. Medhufushi</t>
  </si>
  <si>
    <t>F. Filitheyo</t>
  </si>
  <si>
    <t>Dh. Dhoores</t>
  </si>
  <si>
    <t>Angsana Resort and Spa Maldives - Velavaru</t>
  </si>
  <si>
    <t>Dh. Velavaru</t>
  </si>
  <si>
    <t xml:space="preserve">Baglioni Resort Maldives </t>
  </si>
  <si>
    <t xml:space="preserve">Kandima Maldives </t>
  </si>
  <si>
    <t>Dh. Kandinma</t>
  </si>
  <si>
    <t>Niyama Maldives</t>
  </si>
  <si>
    <t>Dh. Olhuveli &amp; Embudhufushi</t>
  </si>
  <si>
    <t xml:space="preserve">Riu Atoll and Riu Palace Maldivas </t>
  </si>
  <si>
    <t>Dh. Maafushi and Kedhigandu</t>
  </si>
  <si>
    <t>Dh. Aluvifushi</t>
  </si>
  <si>
    <t>Dh. Meedhuffushi</t>
  </si>
  <si>
    <t xml:space="preserve">The St. Regis Vommuli Resort, Maldives </t>
  </si>
  <si>
    <t>Dh. Vommuli</t>
  </si>
  <si>
    <t xml:space="preserve">Maalifushi By Como </t>
  </si>
  <si>
    <t>Th. Male'fushi</t>
  </si>
  <si>
    <t>Six Senses Laamu</t>
  </si>
  <si>
    <t>L. Olhuveli</t>
  </si>
  <si>
    <t>L. Kuda Fares &amp; Fares</t>
  </si>
  <si>
    <t>G.A. Meradhoo</t>
  </si>
  <si>
    <t xml:space="preserve">Park Hyatt Maldives, Hadaha </t>
  </si>
  <si>
    <t>G.A. Hadahaa</t>
  </si>
  <si>
    <t>G.A. Maamutaa</t>
  </si>
  <si>
    <t>G.A. Funamauddua</t>
  </si>
  <si>
    <t>The Residence Maldives</t>
  </si>
  <si>
    <t>G.A. Falhumafushi</t>
  </si>
  <si>
    <t>G.A. Dhigurah</t>
  </si>
  <si>
    <t xml:space="preserve">Amari Havodda Maldives </t>
  </si>
  <si>
    <t>G.Dh. Havodda</t>
  </si>
  <si>
    <t>Ayada Maldives</t>
  </si>
  <si>
    <t>G.Dh. Magudhdhuva</t>
  </si>
  <si>
    <t xml:space="preserve">Outrigger Konotta Maldives Resort </t>
  </si>
  <si>
    <t>G.Dh. Konotta</t>
  </si>
  <si>
    <t>Canareef Resort Maldives</t>
  </si>
  <si>
    <t>S. Herethere</t>
  </si>
  <si>
    <t xml:space="preserve">Shangri - La's Villingili Resort &amp; Spa, Maldives </t>
  </si>
  <si>
    <t>S. Villingili</t>
  </si>
  <si>
    <t>S. Ismehelahera and Kedevaahera</t>
  </si>
  <si>
    <t xml:space="preserve"> Island Name</t>
  </si>
  <si>
    <t xml:space="preserve">Dreamland - The Unique Sea &amp; Lake Resort / Spa </t>
  </si>
  <si>
    <t>2020</t>
  </si>
  <si>
    <t xml:space="preserve">Brennia Kottefaru  </t>
  </si>
  <si>
    <t xml:space="preserve">Bolifushi Island Resort </t>
  </si>
  <si>
    <t>Kagi Maldives Spa Island</t>
  </si>
  <si>
    <t>K. Kagi</t>
  </si>
  <si>
    <t>Varu Island Resort</t>
  </si>
  <si>
    <t xml:space="preserve">W Maldives </t>
  </si>
  <si>
    <t xml:space="preserve">Radisson Blu Resort Maldives </t>
  </si>
  <si>
    <t>A.Dh. Huruelhi</t>
  </si>
  <si>
    <t xml:space="preserve">Maafushivaru Maldives </t>
  </si>
  <si>
    <t>Raffles Maldives Meradhoo Resort</t>
  </si>
  <si>
    <t>Note: Maldives border was closed for international visitirs on 27th March 2020 due to global COVID-19 outbreak and was re-opened on 15th July 2020</t>
  </si>
  <si>
    <t>Due to COVIC-19 pandamic, some tourists were unable to travel back to their home country.</t>
  </si>
  <si>
    <t>2021</t>
  </si>
  <si>
    <t>Siyam World Maldives    </t>
  </si>
  <si>
    <t>Joali Being Bodufushi</t>
  </si>
  <si>
    <t>Kihaa Maldives (Kihaad Resort)</t>
  </si>
  <si>
    <t>Le Meridien Maldives Resort And Spa</t>
  </si>
  <si>
    <t>Sandies Bathala (Bathala Island Resort (Adaaran Club Bathala))</t>
  </si>
  <si>
    <t>Cocogiri Island Resort</t>
  </si>
  <si>
    <t>Anantara Veli and Naladhu (Naladhu (Palm Tree Island))</t>
  </si>
  <si>
    <t>Kuda Villingili Resort Maldives</t>
  </si>
  <si>
    <t>K. Kudavillingili</t>
  </si>
  <si>
    <t>Jumeirah Maldives Olhahali Island (Lux North Male’ Atoll )</t>
  </si>
  <si>
    <t xml:space="preserve">The Ritz Carlton Maldives Fari Islands </t>
  </si>
  <si>
    <t>K. Fari Kandu Huraa</t>
  </si>
  <si>
    <t>Patina Maldives, Fari Islands</t>
  </si>
  <si>
    <t>K. Fari Veli Huraa</t>
  </si>
  <si>
    <t>2022</t>
  </si>
  <si>
    <t>Robinson Noonu</t>
  </si>
  <si>
    <t>Alila Kothaifaru Maldives</t>
  </si>
  <si>
    <t xml:space="preserve">Emerald Faarufushi Resort &amp; Spa </t>
  </si>
  <si>
    <t>Cora Cora Maldives</t>
  </si>
  <si>
    <t xml:space="preserve">The Standard Huruvalhi Maldives  </t>
  </si>
  <si>
    <t>Kuredu Island Resort</t>
  </si>
  <si>
    <t>Aanugandu Island Resort</t>
  </si>
  <si>
    <t>K. Aanugan'du Finolhu and Aanugan'du Huraa</t>
  </si>
  <si>
    <t>Coco Bodu Hithi</t>
  </si>
  <si>
    <t>Hilton Amingiri Resort &amp; Spa</t>
  </si>
  <si>
    <t>K. Kohdhipparu Lagoon
Coordinates 4°14'58.49"N, 73°21'59.75"E</t>
  </si>
  <si>
    <t xml:space="preserve">Oaga Art Resort </t>
  </si>
  <si>
    <t>K. Maaranfushi</t>
  </si>
  <si>
    <t xml:space="preserve">Sun Siyam Olhuveli Maldives </t>
  </si>
  <si>
    <t>Rihiveli Beach Resort</t>
  </si>
  <si>
    <t>Madifushi Private Island</t>
  </si>
  <si>
    <t xml:space="preserve">Yash Nature Resort </t>
  </si>
  <si>
    <t xml:space="preserve">Sun Siyam Iru Veli Maldives </t>
  </si>
  <si>
    <t>Sun Siyam Vilu Reef Maldives</t>
  </si>
  <si>
    <t>Robinson Maldive</t>
  </si>
  <si>
    <t>2023</t>
  </si>
  <si>
    <t>in 2023</t>
  </si>
  <si>
    <t>Table 10.14   BED CAPACITY OF TOURIST RESORTS AND THE DISTANCE FROM MALE' INTERNATIONAL AIRPORT, 2013 - 2023</t>
  </si>
  <si>
    <t>ތާވަލު 10.14: ރިސޯޓްތަކުގެ އެނދުގެ ޖާގައާއި ބައިނަލްއަޤަވާމީ ވައިގެ ބަނދަރާއިހުރި ދުރުމިން،  2013 - 2023</t>
  </si>
  <si>
    <t xml:space="preserve">Amari Raaya Maldives </t>
  </si>
  <si>
    <t>Avani + Fares Maldives</t>
  </si>
  <si>
    <t>Mabinhura By Jawakara Islands Maldives</t>
  </si>
  <si>
    <t>Dheruhfinolhu By Jawakara Islands Maldives</t>
  </si>
  <si>
    <t>SO/Maldives</t>
  </si>
  <si>
    <t>Joy Island</t>
  </si>
  <si>
    <t xml:space="preserve">4° 7’ 24.562” N, 73° 28’ 52.015” E </t>
  </si>
  <si>
    <t>Island 1</t>
  </si>
  <si>
    <t xml:space="preserve">Barceló Whale Lagoon Maldives </t>
  </si>
  <si>
    <t>Nooe Maldives Kunaavashi</t>
  </si>
  <si>
    <t>V. Kunaavashi</t>
  </si>
  <si>
    <t>H.A. Alidhoo</t>
  </si>
  <si>
    <t>H.A. Dhonakulhi</t>
  </si>
  <si>
    <t>Sh. Vagaru</t>
  </si>
  <si>
    <t>Sh. Gaakoshibee</t>
  </si>
  <si>
    <t>H.Dh. Hondaafushi</t>
  </si>
  <si>
    <t>H.A. Manafaru</t>
  </si>
  <si>
    <t>N. Randheli</t>
  </si>
  <si>
    <t>N. Kuredhivaru</t>
  </si>
  <si>
    <t>N. Kudafunafaru</t>
  </si>
  <si>
    <t>N. Orivaru</t>
  </si>
  <si>
    <t>N. Dhigurah</t>
  </si>
  <si>
    <t>N. Medhufaru</t>
  </si>
  <si>
    <t>N. Medhafushi</t>
  </si>
  <si>
    <t>N. Fushivelavaru</t>
  </si>
  <si>
    <t>R. Meedhupparu</t>
  </si>
  <si>
    <t>R. Kothaifaru and Kuroshigiri</t>
  </si>
  <si>
    <t>R. Kudakurathu</t>
  </si>
  <si>
    <t>R. Kottefaru</t>
  </si>
  <si>
    <t>R. Dhigali</t>
  </si>
  <si>
    <t>R. Fasmendhoo</t>
  </si>
  <si>
    <t>R. Faarufushi</t>
  </si>
  <si>
    <t>R. Furaveri</t>
  </si>
  <si>
    <t>R. Aarah</t>
  </si>
  <si>
    <t>R. Maamunagau</t>
  </si>
  <si>
    <t>R. Bodufushi</t>
  </si>
  <si>
    <t>R. Muravandhoo</t>
  </si>
  <si>
    <t>R. Kudafushi</t>
  </si>
  <si>
    <t>R. Maamigili</t>
  </si>
  <si>
    <t>R. Filaidhoo</t>
  </si>
  <si>
    <t>R. Huruvalhi</t>
  </si>
  <si>
    <t>R. Uthurumaafaru</t>
  </si>
  <si>
    <t>B. Kihavah Haruvalhi</t>
  </si>
  <si>
    <t>B. Fares</t>
  </si>
  <si>
    <t>B. Dhunikolhu</t>
  </si>
  <si>
    <t>B. Dhigufaruvinagandu</t>
  </si>
  <si>
    <t>B. Hirundhoo</t>
  </si>
  <si>
    <t>B. Mudhdhoo</t>
  </si>
  <si>
    <t>B. Kanufushi</t>
  </si>
  <si>
    <t>B. Voavah</t>
  </si>
  <si>
    <t>B. Landaa Giraavaru</t>
  </si>
  <si>
    <t>B. Kihaadhuffaru</t>
  </si>
  <si>
    <t>B. Milaidhoo</t>
  </si>
  <si>
    <t>B. Fonimagoodhoo</t>
  </si>
  <si>
    <t>B. Horubadhoo</t>
  </si>
  <si>
    <t>B. Kunfunadhoo</t>
  </si>
  <si>
    <t>B. Thiladhoo</t>
  </si>
  <si>
    <t>B. Miriandhoo</t>
  </si>
  <si>
    <t>B. Vakkaru</t>
  </si>
  <si>
    <t>Lh. Kanifushi</t>
  </si>
  <si>
    <t>Lh. Ookolhu Finolhu</t>
  </si>
  <si>
    <t>Lh. Fushifaru</t>
  </si>
  <si>
    <t>Lh. Hurawalhi</t>
  </si>
  <si>
    <t>Lh. Innahuraa</t>
  </si>
  <si>
    <t>Lh. Kanuhuraa</t>
  </si>
  <si>
    <t>Lh. Komandoo</t>
  </si>
  <si>
    <t>Lh. Kudadhoo</t>
  </si>
  <si>
    <t>Lh. Kuredhdhu</t>
  </si>
  <si>
    <t>Lh. Thilamaafushi and Bodufinolhu</t>
  </si>
  <si>
    <t>Lh. Mabinhura</t>
  </si>
  <si>
    <t>Lh. Dheruhfinolhu</t>
  </si>
  <si>
    <t>V. Vashugiri</t>
  </si>
  <si>
    <t>A.Dh Bodufinolhu</t>
  </si>
  <si>
    <t>Dh. Maagau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</si>
</sst>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7" formatCode="#,##0.0"/>
    <numFmt numFmtId="170" formatCode="#,##0.0_);\(#,##0.0\)"/>
    <numFmt numFmtId="171" formatCode="0.00_)"/>
  </numFmts>
  <fonts count="3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sz val="10"/>
      <name val="Helv"/>
    </font>
    <font>
      <i/>
      <sz val="9"/>
      <color theme="1"/>
      <name val="Calibri"/>
      <family val="2"/>
      <scheme val="minor"/>
    </font>
    <font>
      <sz val="9"/>
      <name val="Arial"/>
      <family val="2"/>
    </font>
    <font>
      <i/>
      <sz val="9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indexed="81"/>
      <name val="Tahoma"/>
      <family val="2"/>
    </font>
    <font>
      <sz val="9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9"/>
      <color theme="1"/>
      <name val="Arial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theme="1"/>
      <name val="Faruma"/>
    </font>
    <font>
      <i/>
      <sz val="9"/>
      <color theme="1"/>
      <name val="Arial"/>
      <family val="2"/>
    </font>
    <font>
      <sz val="10"/>
      <color rgb="FF000000"/>
      <name val="Calibri"/>
      <family val="2"/>
    </font>
    <font>
      <sz val="10"/>
      <name val="Arial"/>
      <family val="2"/>
    </font>
    <font>
      <b/>
      <i/>
      <sz val="16"/>
      <name val="Helv"/>
    </font>
    <font>
      <b/>
      <sz val="10"/>
      <name val="TimesNewRomanPS"/>
    </font>
    <font>
      <sz val="9"/>
      <name val="Calibri"/>
      <family val="2"/>
    </font>
    <font>
      <sz val="11"/>
      <color indexed="8"/>
      <name val="Calibri"/>
      <family val="2"/>
    </font>
    <font>
      <sz val="10"/>
      <color rgb="FF000000"/>
      <name val="Arial"/>
      <family val="2"/>
    </font>
    <font>
      <b/>
      <sz val="10"/>
      <color rgb="FF000000"/>
      <name val="Times"/>
      <family val="1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theme="1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</borders>
  <cellStyleXfs count="76">
    <xf numFmtId="0" fontId="0" fillId="0" borderId="0"/>
    <xf numFmtId="43" fontId="1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22" fillId="0" borderId="0"/>
    <xf numFmtId="0" fontId="3" fillId="0" borderId="0"/>
    <xf numFmtId="43" fontId="3" fillId="0" borderId="0" applyFont="0" applyFill="0" applyBorder="0" applyAlignment="0" applyProtection="0"/>
    <xf numFmtId="171" fontId="23" fillId="0" borderId="0"/>
    <xf numFmtId="1" fontId="24" fillId="0" borderId="7" applyNumberFormat="0"/>
    <xf numFmtId="0" fontId="3" fillId="0" borderId="0"/>
    <xf numFmtId="0" fontId="1" fillId="0" borderId="0"/>
    <xf numFmtId="0" fontId="3" fillId="0" borderId="0"/>
    <xf numFmtId="9" fontId="3" fillId="0" borderId="0" applyFont="0" applyFill="0" applyBorder="0" applyAlignment="0" applyProtection="0"/>
    <xf numFmtId="0" fontId="22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6" fillId="0" borderId="0"/>
    <xf numFmtId="40" fontId="6" fillId="0" borderId="0" applyFont="0" applyFill="0" applyBorder="0" applyAlignment="0" applyProtection="0"/>
    <xf numFmtId="0" fontId="6" fillId="0" borderId="0"/>
    <xf numFmtId="0" fontId="3" fillId="0" borderId="0"/>
    <xf numFmtId="1" fontId="24" fillId="0" borderId="7" applyNumberFormat="0"/>
    <xf numFmtId="0" fontId="1" fillId="0" borderId="0"/>
    <xf numFmtId="0" fontId="6" fillId="0" borderId="0"/>
    <xf numFmtId="0" fontId="26" fillId="0" borderId="0" applyFill="0" applyProtection="0"/>
    <xf numFmtId="1" fontId="24" fillId="0" borderId="7" applyNumberFormat="0"/>
    <xf numFmtId="43" fontId="1" fillId="0" borderId="0" applyFont="0" applyFill="0" applyBorder="0" applyAlignment="0" applyProtection="0"/>
    <xf numFmtId="0" fontId="1" fillId="0" borderId="0"/>
    <xf numFmtId="0" fontId="27" fillId="0" borderId="0"/>
    <xf numFmtId="0" fontId="28" fillId="0" borderId="0"/>
    <xf numFmtId="0" fontId="27" fillId="0" borderId="0"/>
    <xf numFmtId="0" fontId="1" fillId="0" borderId="0"/>
    <xf numFmtId="0" fontId="6" fillId="0" borderId="0"/>
    <xf numFmtId="0" fontId="26" fillId="0" borderId="0" applyFill="0" applyProtection="0"/>
    <xf numFmtId="1" fontId="24" fillId="0" borderId="7" applyNumberFormat="0"/>
    <xf numFmtId="0" fontId="1" fillId="0" borderId="0"/>
    <xf numFmtId="0" fontId="3" fillId="0" borderId="0"/>
    <xf numFmtId="0" fontId="27" fillId="0" borderId="0"/>
    <xf numFmtId="0" fontId="28" fillId="0" borderId="0"/>
    <xf numFmtId="0" fontId="3" fillId="0" borderId="0"/>
    <xf numFmtId="0" fontId="27" fillId="0" borderId="0"/>
    <xf numFmtId="0" fontId="29" fillId="0" borderId="0"/>
    <xf numFmtId="0" fontId="27" fillId="0" borderId="0"/>
    <xf numFmtId="0" fontId="27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0" fontId="6" fillId="0" borderId="0" applyFont="0" applyFill="0" applyBorder="0" applyAlignment="0" applyProtection="0"/>
    <xf numFmtId="0" fontId="1" fillId="0" borderId="0"/>
    <xf numFmtId="0" fontId="29" fillId="0" borderId="0" applyBorder="0"/>
    <xf numFmtId="0" fontId="1" fillId="0" borderId="0"/>
    <xf numFmtId="40" fontId="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29" fillId="0" borderId="0" applyBorder="0"/>
    <xf numFmtId="0" fontId="1" fillId="0" borderId="0"/>
    <xf numFmtId="0" fontId="1" fillId="0" borderId="0"/>
    <xf numFmtId="1" fontId="24" fillId="0" borderId="7" applyNumberFormat="0"/>
    <xf numFmtId="1" fontId="24" fillId="0" borderId="7" applyNumberFormat="0"/>
    <xf numFmtId="1" fontId="24" fillId="0" borderId="7" applyNumberFormat="0"/>
    <xf numFmtId="1" fontId="24" fillId="0" borderId="7" applyNumberFormat="0"/>
    <xf numFmtId="1" fontId="24" fillId="0" borderId="7" applyNumberFormat="0"/>
    <xf numFmtId="1" fontId="24" fillId="0" borderId="7" applyNumberFormat="0"/>
    <xf numFmtId="1" fontId="24" fillId="0" borderId="7" applyNumberFormat="0"/>
    <xf numFmtId="0" fontId="1" fillId="0" borderId="0"/>
    <xf numFmtId="0" fontId="1" fillId="0" borderId="0"/>
    <xf numFmtId="0" fontId="29" fillId="0" borderId="0" applyBorder="0"/>
    <xf numFmtId="0" fontId="29" fillId="0" borderId="0"/>
    <xf numFmtId="0" fontId="1" fillId="0" borderId="0"/>
    <xf numFmtId="0" fontId="6" fillId="0" borderId="0"/>
    <xf numFmtId="0" fontId="6" fillId="0" borderId="0"/>
    <xf numFmtId="1" fontId="24" fillId="0" borderId="7" applyNumberFormat="0"/>
  </cellStyleXfs>
  <cellXfs count="105">
    <xf numFmtId="0" fontId="0" fillId="0" borderId="0" xfId="0"/>
    <xf numFmtId="3" fontId="11" fillId="2" borderId="0" xfId="2" applyNumberFormat="1" applyFont="1" applyFill="1" applyAlignment="1" applyProtection="1">
      <alignment horizontal="right" vertical="center"/>
      <protection locked="0"/>
    </xf>
    <xf numFmtId="3" fontId="11" fillId="2" borderId="2" xfId="2" applyNumberFormat="1" applyFont="1" applyFill="1" applyBorder="1" applyAlignment="1" applyProtection="1">
      <alignment horizontal="right" vertical="center"/>
      <protection locked="0"/>
    </xf>
    <xf numFmtId="0" fontId="15" fillId="2" borderId="0" xfId="2" applyFont="1" applyFill="1"/>
    <xf numFmtId="0" fontId="15" fillId="2" borderId="0" xfId="2" applyFont="1" applyFill="1" applyAlignment="1">
      <alignment vertical="center"/>
    </xf>
    <xf numFmtId="3" fontId="11" fillId="2" borderId="0" xfId="2" applyNumberFormat="1" applyFont="1" applyFill="1" applyAlignment="1">
      <alignment horizontal="right" vertical="center"/>
    </xf>
    <xf numFmtId="0" fontId="11" fillId="2" borderId="0" xfId="2" applyFont="1" applyFill="1" applyAlignment="1">
      <alignment horizontal="left" vertical="center"/>
    </xf>
    <xf numFmtId="0" fontId="15" fillId="2" borderId="0" xfId="2" applyFont="1" applyFill="1" applyAlignment="1">
      <alignment wrapText="1"/>
    </xf>
    <xf numFmtId="0" fontId="15" fillId="2" borderId="0" xfId="2" applyFont="1" applyFill="1" applyAlignment="1">
      <alignment horizontal="right" vertical="center"/>
    </xf>
    <xf numFmtId="0" fontId="15" fillId="2" borderId="1" xfId="2" applyFont="1" applyFill="1" applyBorder="1" applyAlignment="1">
      <alignment horizontal="right" vertical="center"/>
    </xf>
    <xf numFmtId="0" fontId="10" fillId="2" borderId="4" xfId="2" applyFont="1" applyFill="1" applyBorder="1" applyAlignment="1">
      <alignment vertical="center"/>
    </xf>
    <xf numFmtId="0" fontId="18" fillId="2" borderId="1" xfId="2" applyFont="1" applyFill="1" applyBorder="1" applyAlignment="1">
      <alignment horizontal="center" vertical="center"/>
    </xf>
    <xf numFmtId="1" fontId="10" fillId="2" borderId="2" xfId="2" applyNumberFormat="1" applyFont="1" applyFill="1" applyBorder="1" applyAlignment="1">
      <alignment horizontal="right" vertical="center"/>
    </xf>
    <xf numFmtId="0" fontId="10" fillId="2" borderId="2" xfId="2" applyFont="1" applyFill="1" applyBorder="1" applyAlignment="1">
      <alignment horizontal="center" vertical="center"/>
    </xf>
    <xf numFmtId="3" fontId="10" fillId="2" borderId="0" xfId="2" applyNumberFormat="1" applyFont="1" applyFill="1" applyAlignment="1" applyProtection="1">
      <alignment horizontal="right" vertical="center"/>
      <protection locked="0"/>
    </xf>
    <xf numFmtId="0" fontId="13" fillId="2" borderId="0" xfId="2" applyFont="1" applyFill="1"/>
    <xf numFmtId="0" fontId="5" fillId="2" borderId="3" xfId="2" applyFont="1" applyFill="1" applyBorder="1" applyAlignment="1">
      <alignment horizontal="center" vertical="center"/>
    </xf>
    <xf numFmtId="3" fontId="11" fillId="2" borderId="6" xfId="2" applyNumberFormat="1" applyFont="1" applyFill="1" applyBorder="1" applyAlignment="1" applyProtection="1">
      <alignment horizontal="right" vertical="center"/>
      <protection locked="0"/>
    </xf>
    <xf numFmtId="3" fontId="11" fillId="2" borderId="3" xfId="2" applyNumberFormat="1" applyFont="1" applyFill="1" applyBorder="1" applyAlignment="1" applyProtection="1">
      <alignment horizontal="right" vertical="center"/>
      <protection locked="0"/>
    </xf>
    <xf numFmtId="1" fontId="11" fillId="2" borderId="6" xfId="2" applyNumberFormat="1" applyFont="1" applyFill="1" applyBorder="1" applyAlignment="1" applyProtection="1">
      <alignment horizontal="right" vertical="center"/>
      <protection locked="0"/>
    </xf>
    <xf numFmtId="1" fontId="11" fillId="2" borderId="3" xfId="2" applyNumberFormat="1" applyFont="1" applyFill="1" applyBorder="1" applyAlignment="1" applyProtection="1">
      <alignment horizontal="right" vertical="center"/>
      <protection locked="0"/>
    </xf>
    <xf numFmtId="0" fontId="5" fillId="2" borderId="5" xfId="2" applyFont="1" applyFill="1" applyBorder="1" applyAlignment="1">
      <alignment horizontal="center" vertical="center"/>
    </xf>
    <xf numFmtId="3" fontId="10" fillId="2" borderId="5" xfId="2" applyNumberFormat="1" applyFont="1" applyFill="1" applyBorder="1" applyAlignment="1">
      <alignment horizontal="right" vertical="center"/>
    </xf>
    <xf numFmtId="49" fontId="11" fillId="2" borderId="0" xfId="1" applyNumberFormat="1" applyFont="1" applyFill="1" applyBorder="1" applyAlignment="1" applyProtection="1">
      <alignment horizontal="right" vertical="center"/>
    </xf>
    <xf numFmtId="3" fontId="11" fillId="2" borderId="6" xfId="2" applyNumberFormat="1" applyFont="1" applyFill="1" applyBorder="1" applyAlignment="1">
      <alignment horizontal="right" vertical="center"/>
    </xf>
    <xf numFmtId="3" fontId="11" fillId="2" borderId="3" xfId="2" applyNumberFormat="1" applyFont="1" applyFill="1" applyBorder="1" applyAlignment="1">
      <alignment horizontal="right" vertical="center"/>
    </xf>
    <xf numFmtId="49" fontId="11" fillId="2" borderId="6" xfId="1" applyNumberFormat="1" applyFont="1" applyFill="1" applyBorder="1" applyAlignment="1" applyProtection="1">
      <alignment horizontal="right" vertical="center"/>
    </xf>
    <xf numFmtId="0" fontId="11" fillId="2" borderId="6" xfId="2" applyFont="1" applyFill="1" applyBorder="1" applyAlignment="1">
      <alignment horizontal="left" vertical="center" wrapText="1"/>
    </xf>
    <xf numFmtId="0" fontId="11" fillId="2" borderId="6" xfId="2" applyFont="1" applyFill="1" applyBorder="1" applyAlignment="1">
      <alignment horizontal="right" vertical="center"/>
    </xf>
    <xf numFmtId="0" fontId="16" fillId="2" borderId="0" xfId="2" applyFont="1" applyFill="1"/>
    <xf numFmtId="0" fontId="14" fillId="2" borderId="0" xfId="2" applyFont="1" applyFill="1"/>
    <xf numFmtId="0" fontId="11" fillId="2" borderId="3" xfId="2" applyFont="1" applyFill="1" applyBorder="1" applyAlignment="1">
      <alignment horizontal="right" vertical="center"/>
    </xf>
    <xf numFmtId="0" fontId="5" fillId="2" borderId="2" xfId="2" applyFont="1" applyFill="1" applyBorder="1" applyAlignment="1">
      <alignment horizontal="center" vertical="center"/>
    </xf>
    <xf numFmtId="0" fontId="11" fillId="2" borderId="0" xfId="2" applyFont="1" applyFill="1" applyAlignment="1">
      <alignment wrapText="1"/>
    </xf>
    <xf numFmtId="0" fontId="17" fillId="2" borderId="0" xfId="0" applyFont="1" applyFill="1"/>
    <xf numFmtId="3" fontId="10" fillId="2" borderId="3" xfId="2" applyNumberFormat="1" applyFont="1" applyFill="1" applyBorder="1" applyAlignment="1">
      <alignment horizontal="right" vertical="center"/>
    </xf>
    <xf numFmtId="3" fontId="10" fillId="2" borderId="2" xfId="2" applyNumberFormat="1" applyFont="1" applyFill="1" applyBorder="1" applyAlignment="1">
      <alignment horizontal="right" vertical="center"/>
    </xf>
    <xf numFmtId="0" fontId="11" fillId="2" borderId="6" xfId="2" applyFont="1" applyFill="1" applyBorder="1" applyAlignment="1">
      <alignment horizontal="left" vertical="center"/>
    </xf>
    <xf numFmtId="0" fontId="7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/>
    </xf>
    <xf numFmtId="0" fontId="15" fillId="2" borderId="0" xfId="2" applyFont="1" applyFill="1" applyAlignment="1">
      <alignment horizontal="left"/>
    </xf>
    <xf numFmtId="3" fontId="13" fillId="2" borderId="0" xfId="2" applyNumberFormat="1" applyFont="1" applyFill="1"/>
    <xf numFmtId="3" fontId="15" fillId="2" borderId="0" xfId="2" applyNumberFormat="1" applyFont="1" applyFill="1"/>
    <xf numFmtId="0" fontId="9" fillId="2" borderId="0" xfId="0" applyFont="1" applyFill="1" applyAlignment="1">
      <alignment horizontal="left" vertical="center"/>
    </xf>
    <xf numFmtId="0" fontId="3" fillId="2" borderId="0" xfId="2" applyFill="1" applyAlignment="1">
      <alignment horizontal="center" vertical="center"/>
    </xf>
    <xf numFmtId="170" fontId="13" fillId="2" borderId="0" xfId="2" applyNumberFormat="1" applyFont="1" applyFill="1" applyAlignment="1">
      <alignment horizontal="right" vertical="center"/>
    </xf>
    <xf numFmtId="0" fontId="13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center" wrapText="1"/>
    </xf>
    <xf numFmtId="167" fontId="11" fillId="2" borderId="0" xfId="2" applyNumberFormat="1" applyFont="1" applyFill="1" applyAlignment="1" applyProtection="1">
      <alignment horizontal="right" vertical="center"/>
      <protection locked="0"/>
    </xf>
    <xf numFmtId="167" fontId="11" fillId="2" borderId="0" xfId="2" applyNumberFormat="1" applyFont="1" applyFill="1" applyAlignment="1" applyProtection="1">
      <alignment horizontal="right" vertical="center" wrapText="1"/>
      <protection locked="0"/>
    </xf>
    <xf numFmtId="0" fontId="11" fillId="2" borderId="0" xfId="2" applyFont="1" applyFill="1"/>
    <xf numFmtId="3" fontId="10" fillId="2" borderId="0" xfId="2" applyNumberFormat="1" applyFont="1" applyFill="1" applyAlignment="1">
      <alignment horizontal="right" vertical="center"/>
    </xf>
    <xf numFmtId="0" fontId="20" fillId="2" borderId="0" xfId="2" applyFont="1" applyFill="1" applyAlignment="1">
      <alignment horizontal="right" vertical="center"/>
    </xf>
    <xf numFmtId="0" fontId="7" fillId="2" borderId="0" xfId="2" applyFont="1" applyFill="1" applyAlignment="1">
      <alignment horizontal="left" vertical="center" wrapText="1"/>
    </xf>
    <xf numFmtId="0" fontId="8" fillId="2" borderId="0" xfId="2" applyFont="1" applyFill="1" applyAlignment="1">
      <alignment horizontal="center" vertical="center"/>
    </xf>
    <xf numFmtId="0" fontId="20" fillId="2" borderId="0" xfId="2" applyFont="1" applyFill="1" applyAlignment="1">
      <alignment horizontal="left" vertical="center"/>
    </xf>
    <xf numFmtId="3" fontId="13" fillId="2" borderId="0" xfId="2" applyNumberFormat="1" applyFont="1" applyFill="1" applyAlignment="1" applyProtection="1">
      <alignment horizontal="right" vertical="center"/>
      <protection locked="0"/>
    </xf>
    <xf numFmtId="167" fontId="13" fillId="2" borderId="0" xfId="2" applyNumberFormat="1" applyFont="1" applyFill="1" applyAlignment="1" applyProtection="1">
      <alignment horizontal="right" vertical="center"/>
      <protection locked="0"/>
    </xf>
    <xf numFmtId="1" fontId="13" fillId="2" borderId="0" xfId="2" applyNumberFormat="1" applyFont="1" applyFill="1" applyAlignment="1">
      <alignment horizontal="right" vertical="center"/>
    </xf>
    <xf numFmtId="49" fontId="11" fillId="2" borderId="2" xfId="2" applyNumberFormat="1" applyFont="1" applyFill="1" applyBorder="1" applyAlignment="1">
      <alignment horizontal="right" vertical="center"/>
    </xf>
    <xf numFmtId="0" fontId="11" fillId="2" borderId="2" xfId="2" applyFont="1" applyFill="1" applyBorder="1" applyAlignment="1">
      <alignment horizontal="left" vertical="center"/>
    </xf>
    <xf numFmtId="0" fontId="11" fillId="2" borderId="2" xfId="2" applyFont="1" applyFill="1" applyBorder="1" applyAlignment="1">
      <alignment horizontal="left" vertical="center" wrapText="1"/>
    </xf>
    <xf numFmtId="49" fontId="11" fillId="2" borderId="0" xfId="2" applyNumberFormat="1" applyFont="1" applyFill="1" applyAlignment="1">
      <alignment horizontal="right" vertical="center"/>
    </xf>
    <xf numFmtId="0" fontId="11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center" vertical="center"/>
    </xf>
    <xf numFmtId="0" fontId="10" fillId="2" borderId="0" xfId="2" applyFont="1" applyFill="1" applyAlignment="1">
      <alignment horizontal="left" vertical="center"/>
    </xf>
    <xf numFmtId="0" fontId="10" fillId="2" borderId="0" xfId="2" applyFont="1" applyFill="1" applyAlignment="1">
      <alignment horizontal="left" vertical="center" wrapText="1"/>
    </xf>
    <xf numFmtId="0" fontId="11" fillId="2" borderId="3" xfId="0" applyFont="1" applyFill="1" applyBorder="1" applyAlignment="1">
      <alignment horizontal="left"/>
    </xf>
    <xf numFmtId="0" fontId="11" fillId="2" borderId="0" xfId="2" applyFont="1" applyFill="1" applyAlignment="1">
      <alignment horizontal="right" vertical="center"/>
    </xf>
    <xf numFmtId="0" fontId="11" fillId="2" borderId="0" xfId="0" applyFont="1" applyFill="1" applyAlignment="1">
      <alignment horizontal="left"/>
    </xf>
    <xf numFmtId="49" fontId="11" fillId="2" borderId="6" xfId="2" applyNumberFormat="1" applyFont="1" applyFill="1" applyBorder="1" applyAlignment="1">
      <alignment horizontal="right" vertical="center"/>
    </xf>
    <xf numFmtId="1" fontId="11" fillId="2" borderId="0" xfId="2" applyNumberFormat="1" applyFont="1" applyFill="1" applyAlignment="1">
      <alignment horizontal="right" vertical="center"/>
    </xf>
    <xf numFmtId="1" fontId="11" fillId="2" borderId="6" xfId="2" applyNumberFormat="1" applyFont="1" applyFill="1" applyBorder="1" applyAlignment="1">
      <alignment horizontal="right" vertical="center"/>
    </xf>
    <xf numFmtId="3" fontId="13" fillId="2" borderId="0" xfId="2" applyNumberFormat="1" applyFont="1" applyFill="1" applyAlignment="1">
      <alignment horizontal="right" vertical="center"/>
    </xf>
    <xf numFmtId="1" fontId="11" fillId="2" borderId="0" xfId="2" applyNumberFormat="1" applyFont="1" applyFill="1" applyAlignment="1" applyProtection="1">
      <alignment horizontal="right" vertical="center"/>
      <protection locked="0"/>
    </xf>
    <xf numFmtId="0" fontId="21" fillId="2" borderId="0" xfId="0" applyFont="1" applyFill="1"/>
    <xf numFmtId="0" fontId="10" fillId="2" borderId="5" xfId="2" applyFont="1" applyFill="1" applyBorder="1" applyAlignment="1">
      <alignment horizontal="left" vertical="center"/>
    </xf>
    <xf numFmtId="0" fontId="10" fillId="2" borderId="5" xfId="2" applyFont="1" applyFill="1" applyBorder="1" applyAlignment="1">
      <alignment horizontal="left" vertical="center" wrapText="1"/>
    </xf>
    <xf numFmtId="0" fontId="10" fillId="2" borderId="2" xfId="2" applyFont="1" applyFill="1" applyBorder="1" applyAlignment="1">
      <alignment horizontal="right" vertical="center"/>
    </xf>
    <xf numFmtId="0" fontId="3" fillId="2" borderId="2" xfId="2" applyFill="1" applyBorder="1" applyAlignment="1">
      <alignment horizontal="center" vertical="center"/>
    </xf>
    <xf numFmtId="0" fontId="10" fillId="2" borderId="1" xfId="2" applyFont="1" applyFill="1" applyBorder="1" applyAlignment="1">
      <alignment horizontal="right" vertical="center"/>
    </xf>
    <xf numFmtId="0" fontId="10" fillId="2" borderId="1" xfId="2" applyFont="1" applyFill="1" applyBorder="1" applyAlignment="1">
      <alignment horizontal="right" vertical="center" wrapText="1"/>
    </xf>
    <xf numFmtId="0" fontId="3" fillId="2" borderId="1" xfId="2" applyFill="1" applyBorder="1" applyAlignment="1">
      <alignment horizontal="center" vertical="center"/>
    </xf>
    <xf numFmtId="0" fontId="25" fillId="2" borderId="0" xfId="25" applyFont="1" applyFill="1" applyAlignment="1">
      <alignment horizontal="left"/>
    </xf>
    <xf numFmtId="0" fontId="4" fillId="2" borderId="0" xfId="2" applyFont="1" applyFill="1" applyAlignment="1">
      <alignment horizontal="center" vertical="center"/>
    </xf>
    <xf numFmtId="0" fontId="21" fillId="2" borderId="6" xfId="0" applyFont="1" applyFill="1" applyBorder="1" applyAlignment="1">
      <alignment vertical="center"/>
    </xf>
    <xf numFmtId="167" fontId="10" fillId="2" borderId="0" xfId="2" applyNumberFormat="1" applyFont="1" applyFill="1" applyAlignment="1">
      <alignment horizontal="right" vertical="center"/>
    </xf>
    <xf numFmtId="167" fontId="11" fillId="2" borderId="3" xfId="2" applyNumberFormat="1" applyFont="1" applyFill="1" applyBorder="1" applyAlignment="1" applyProtection="1">
      <alignment horizontal="right" vertical="center"/>
      <protection locked="0"/>
    </xf>
    <xf numFmtId="167" fontId="10" fillId="2" borderId="0" xfId="2" applyNumberFormat="1" applyFont="1" applyFill="1" applyAlignment="1" applyProtection="1">
      <alignment horizontal="right" vertical="center"/>
      <protection locked="0"/>
    </xf>
    <xf numFmtId="167" fontId="11" fillId="2" borderId="0" xfId="2" applyNumberFormat="1" applyFont="1" applyFill="1" applyAlignment="1">
      <alignment horizontal="right" vertical="center"/>
    </xf>
    <xf numFmtId="167" fontId="10" fillId="2" borderId="5" xfId="2" applyNumberFormat="1" applyFont="1" applyFill="1" applyBorder="1" applyAlignment="1">
      <alignment horizontal="right" vertical="center"/>
    </xf>
    <xf numFmtId="167" fontId="17" fillId="2" borderId="0" xfId="0" applyNumberFormat="1" applyFont="1" applyFill="1"/>
    <xf numFmtId="167" fontId="11" fillId="2" borderId="6" xfId="2" applyNumberFormat="1" applyFont="1" applyFill="1" applyBorder="1" applyAlignment="1">
      <alignment horizontal="right" vertical="center"/>
    </xf>
    <xf numFmtId="167" fontId="11" fillId="2" borderId="6" xfId="2" applyNumberFormat="1" applyFont="1" applyFill="1" applyBorder="1" applyAlignment="1" applyProtection="1">
      <alignment horizontal="right" vertical="center"/>
      <protection locked="0"/>
    </xf>
    <xf numFmtId="167" fontId="11" fillId="2" borderId="2" xfId="2" applyNumberFormat="1" applyFont="1" applyFill="1" applyBorder="1" applyAlignment="1" applyProtection="1">
      <alignment horizontal="right" vertical="center"/>
      <protection locked="0"/>
    </xf>
    <xf numFmtId="0" fontId="21" fillId="2" borderId="6" xfId="0" applyFont="1" applyFill="1" applyBorder="1" applyAlignment="1">
      <alignment horizontal="center" vertical="center"/>
    </xf>
    <xf numFmtId="0" fontId="13" fillId="2" borderId="0" xfId="2" applyFont="1" applyFill="1" applyAlignment="1">
      <alignment horizontal="center"/>
    </xf>
    <xf numFmtId="0" fontId="9" fillId="2" borderId="0" xfId="0" applyFont="1" applyFill="1" applyAlignment="1">
      <alignment horizontal="center" vertical="center"/>
    </xf>
    <xf numFmtId="0" fontId="19" fillId="2" borderId="0" xfId="2" applyFont="1" applyFill="1" applyAlignment="1">
      <alignment horizontal="center" vertical="center" wrapText="1"/>
    </xf>
    <xf numFmtId="0" fontId="10" fillId="2" borderId="1" xfId="2" applyFont="1" applyFill="1" applyBorder="1" applyAlignment="1">
      <alignment horizontal="left" vertical="center" wrapText="1"/>
    </xf>
    <xf numFmtId="0" fontId="10" fillId="2" borderId="2" xfId="2" applyFont="1" applyFill="1" applyBorder="1" applyAlignment="1">
      <alignment horizontal="left" vertical="center" wrapText="1"/>
    </xf>
    <xf numFmtId="0" fontId="10" fillId="2" borderId="1" xfId="2" applyFont="1" applyFill="1" applyBorder="1" applyAlignment="1">
      <alignment horizontal="center" vertical="center"/>
    </xf>
    <xf numFmtId="0" fontId="10" fillId="2" borderId="2" xfId="2" applyFont="1" applyFill="1" applyBorder="1" applyAlignment="1">
      <alignment horizontal="center" vertical="center"/>
    </xf>
    <xf numFmtId="0" fontId="2" fillId="2" borderId="0" xfId="2" applyFont="1" applyFill="1" applyAlignment="1">
      <alignment horizontal="center" vertical="center"/>
    </xf>
    <xf numFmtId="0" fontId="10" fillId="2" borderId="4" xfId="2" applyFont="1" applyFill="1" applyBorder="1" applyAlignment="1">
      <alignment horizontal="center" vertical="center"/>
    </xf>
  </cellXfs>
  <cellStyles count="76">
    <cellStyle name="1" xfId="6" xr:uid="{00000000-0005-0000-0000-000000000000}"/>
    <cellStyle name="Comma" xfId="1" builtinId="3"/>
    <cellStyle name="Comma 2" xfId="20" xr:uid="{00000000-0005-0000-0000-000002000000}"/>
    <cellStyle name="Comma 2 2" xfId="47" xr:uid="{71832AE8-63E9-47AC-B43D-24C9B30FD491}"/>
    <cellStyle name="Comma 2 2 2 5" xfId="28" xr:uid="{923A80DF-8391-490C-A9FC-9B04BA3FF02C}"/>
    <cellStyle name="Comma 2 3" xfId="54" xr:uid="{18E20042-2979-46AD-9D37-4A459DA64BAE}"/>
    <cellStyle name="Comma 3" xfId="7" xr:uid="{00000000-0005-0000-0000-000003000000}"/>
    <cellStyle name="Comma 3 2" xfId="50" xr:uid="{C94EE668-205D-4DE2-A3E1-635995599CA4}"/>
    <cellStyle name="Normal" xfId="0" builtinId="0"/>
    <cellStyle name="Normal - Style1" xfId="8" xr:uid="{00000000-0005-0000-0000-000005000000}"/>
    <cellStyle name="Normal 10" xfId="14" xr:uid="{00000000-0005-0000-0000-000006000000}"/>
    <cellStyle name="Normal 11" xfId="25" xr:uid="{95DB1E47-A717-4F50-B120-BDB4A6A98D35}"/>
    <cellStyle name="Normal 12" xfId="27" xr:uid="{5F37676F-9210-428B-A54A-88AF31197612}"/>
    <cellStyle name="Normal 13" xfId="36" xr:uid="{1E44DD08-E506-4B0E-A49D-239619E68ECB}"/>
    <cellStyle name="Normal 14" xfId="61" xr:uid="{CF47567C-18E3-48E3-B4B2-F9546E19550C}"/>
    <cellStyle name="Normal 15" xfId="62" xr:uid="{791BF7C1-0A53-4899-92D0-58D1295D1734}"/>
    <cellStyle name="Normal 16" xfId="63" xr:uid="{FB24067F-240D-455E-8348-EE3147456F5B}"/>
    <cellStyle name="Normal 17" xfId="64" xr:uid="{D4A5C67F-868D-43C6-89A5-249394EF5F61}"/>
    <cellStyle name="Normal 18" xfId="65" xr:uid="{C428DA61-20F8-4842-A18B-7FA043B482A4}"/>
    <cellStyle name="Normal 19" xfId="66" xr:uid="{EACCE844-16D2-420C-B840-ACEE6225450A}"/>
    <cellStyle name="Normal 2" xfId="2" xr:uid="{00000000-0005-0000-0000-000007000000}"/>
    <cellStyle name="Normal 2 2" xfId="9" xr:uid="{00000000-0005-0000-0000-000008000000}"/>
    <cellStyle name="Normal 2 2 2" xfId="21" xr:uid="{00000000-0005-0000-0000-000009000000}"/>
    <cellStyle name="Normal 2 2 2 2" xfId="45" xr:uid="{8F8F9C60-80DF-42BF-B765-6C68B3B83858}"/>
    <cellStyle name="Normal 2 2 3" xfId="22" xr:uid="{2E2FEFD2-ABBD-420D-8461-C8F503FDA24A}"/>
    <cellStyle name="Normal 2 2 3 2" xfId="43" xr:uid="{847F1A16-9FCA-412B-AE91-D29E3FC8B338}"/>
    <cellStyle name="Normal 2 2 4" xfId="39" xr:uid="{19B03459-4F46-4840-B83F-02097E770DD0}"/>
    <cellStyle name="Normal 2 3" xfId="24" xr:uid="{48422FEC-E0BC-428C-9750-2D76D2E13FBF}"/>
    <cellStyle name="Normal 2 3 2" xfId="35" xr:uid="{53720891-5BB7-4072-A4AA-9D579EA571CD}"/>
    <cellStyle name="Normal 2 3 3" xfId="38" xr:uid="{7DCAFB35-81DA-42EB-A924-F7ED0EEF7A1F}"/>
    <cellStyle name="Normal 2 4" xfId="26" xr:uid="{84E1C268-3A16-4FB7-A335-F22068D33369}"/>
    <cellStyle name="Normal 2 4 2" xfId="46" xr:uid="{57E5914E-388A-4C4B-895D-9DE84233932D}"/>
    <cellStyle name="Normal 2 5" xfId="30" xr:uid="{D29D2916-D641-4853-A275-3F08E70F8C7A}"/>
    <cellStyle name="Normal 2 5 2" xfId="68" xr:uid="{C22BCFAD-F32E-457E-938E-ABEE683A2342}"/>
    <cellStyle name="Normal 2 6" xfId="69" xr:uid="{FEC1E65A-B873-4B1D-8CA3-90C7267B1DBB}"/>
    <cellStyle name="Normal 2 7" xfId="72" xr:uid="{1F813466-FC69-4C83-8E34-944476152EEC}"/>
    <cellStyle name="Normal 20" xfId="67" xr:uid="{6BBCB359-6445-479F-B974-2714BC50CD98}"/>
    <cellStyle name="Normal 21" xfId="73" xr:uid="{ED747AB2-D527-4275-89BF-F4D42E0C64B3}"/>
    <cellStyle name="Normal 22" xfId="74" xr:uid="{8E332121-172D-4CE3-830C-64EBB89E6CB3}"/>
    <cellStyle name="Normal 23" xfId="75" xr:uid="{DB6A6BF5-DDB4-454B-9671-9B4525D9FEF0}"/>
    <cellStyle name="Normal 3" xfId="10" xr:uid="{00000000-0005-0000-0000-00000A000000}"/>
    <cellStyle name="Normal 3 2" xfId="23" xr:uid="{44D070A0-948A-45DA-8AFF-8A98BB90EB1D}"/>
    <cellStyle name="Normal 3 2 2" xfId="32" xr:uid="{4957CE97-0C4F-446D-8F13-BA568858B15F}"/>
    <cellStyle name="Normal 3 2 2 2" xfId="57" xr:uid="{2E853BA5-A6AB-4EF9-973C-19000D44968E}"/>
    <cellStyle name="Normal 3 3" xfId="41" xr:uid="{1D4DED44-E767-4414-A710-53A5E77B0231}"/>
    <cellStyle name="Normal 3 3 2" xfId="60" xr:uid="{105881E3-0498-4F49-93D5-84249EBD8B7E}"/>
    <cellStyle name="Normal 3 4" xfId="51" xr:uid="{775CBDBA-2355-47F1-8EDC-996CD2E9D14C}"/>
    <cellStyle name="Normal 3 5" xfId="55" xr:uid="{B67EF198-0A73-4423-9F40-46956DF79B03}"/>
    <cellStyle name="Normal 3 6" xfId="70" xr:uid="{147BF9F4-9920-475F-AFAF-1D72BEB5A6F8}"/>
    <cellStyle name="Normal 3 7" xfId="71" xr:uid="{C369A487-A923-4CFF-B26E-A8A707B5AE2D}"/>
    <cellStyle name="Normal 4" xfId="15" xr:uid="{00000000-0005-0000-0000-00000B000000}"/>
    <cellStyle name="Normal 4 2" xfId="11" xr:uid="{00000000-0005-0000-0000-00000C000000}"/>
    <cellStyle name="Normal 4 2 2" xfId="16" xr:uid="{00000000-0005-0000-0000-00000D000000}"/>
    <cellStyle name="Normal 4 2 3" xfId="40" xr:uid="{3CC09F86-6AF3-42B7-B59F-47E11B119A56}"/>
    <cellStyle name="Normal 4 3" xfId="31" xr:uid="{6720CF7E-3D28-49D4-A4F3-23A341275CC3}"/>
    <cellStyle name="Normal 4 3 2" xfId="48" xr:uid="{FF8D28D6-8DB2-418B-A317-8CA9F33A63C6}"/>
    <cellStyle name="Normal 4 4" xfId="53" xr:uid="{506DB73D-6B6B-40EF-85B4-52381B4717DA}"/>
    <cellStyle name="Normal 5" xfId="12" xr:uid="{00000000-0005-0000-0000-00000E000000}"/>
    <cellStyle name="Normal 5 2" xfId="4" xr:uid="{00000000-0005-0000-0000-00000F000000}"/>
    <cellStyle name="Normal 5 2 2" xfId="56" xr:uid="{349C0B77-1FB1-4403-84A0-A4B2133A156A}"/>
    <cellStyle name="Normal 5 3" xfId="29" xr:uid="{F16A05F5-F806-4902-9DAF-1592A0EB3B8F}"/>
    <cellStyle name="Normal 5 4" xfId="42" xr:uid="{A6EA1B92-714A-484D-87C5-6D1A3BC3F4D7}"/>
    <cellStyle name="Normal 6" xfId="17" xr:uid="{00000000-0005-0000-0000-000010000000}"/>
    <cellStyle name="Normal 6 2" xfId="33" xr:uid="{28DCBC0B-46D7-4D92-ADC4-A6E5B7FB0383}"/>
    <cellStyle name="Normal 6 2 2" xfId="58" xr:uid="{35024BBE-69E3-4A93-86D9-3A08FFADFD0D}"/>
    <cellStyle name="Normal 6 3" xfId="44" xr:uid="{A1A5671A-5779-4172-B339-E25C279C443B}"/>
    <cellStyle name="Normal 7" xfId="18" xr:uid="{00000000-0005-0000-0000-000011000000}"/>
    <cellStyle name="Normal 7 2" xfId="34" xr:uid="{F94E59D5-A861-4070-A967-F13E24BDD6F0}"/>
    <cellStyle name="Normal 7 2 2" xfId="49" xr:uid="{3C7963B8-B6CF-4FCF-93B3-DD71D3A617EC}"/>
    <cellStyle name="Normal 7 3" xfId="59" xr:uid="{31B347B4-04A7-4773-99FE-B93DBCB9EF51}"/>
    <cellStyle name="Normal 7 4" xfId="37" xr:uid="{82FD4FAA-650B-46FE-85A5-0119781775C0}"/>
    <cellStyle name="Normal 8" xfId="19" xr:uid="{00000000-0005-0000-0000-000012000000}"/>
    <cellStyle name="Normal 8 2" xfId="52" xr:uid="{2C19882A-370B-4CF1-8D87-E650A5A0EE91}"/>
    <cellStyle name="Normal 9" xfId="5" xr:uid="{00000000-0005-0000-0000-000013000000}"/>
    <cellStyle name="Percent 2" xfId="13" xr:uid="{00000000-0005-0000-0000-00001B000000}"/>
    <cellStyle name="Percent 2 2" xfId="3" xr:uid="{00000000-0005-0000-0000-00001C000000}"/>
  </cellStyles>
  <dxfs count="0"/>
  <tableStyles count="0" defaultTableStyle="TableStyleMedium2" defaultPivotStyle="PivotStyleLight16"/>
  <colors>
    <mruColors>
      <color rgb="FFBDFFFF"/>
      <color rgb="FFD1FFFF"/>
      <color rgb="FF4FFFFF"/>
      <color rgb="FF00DFDA"/>
      <color rgb="FF009999"/>
      <color rgb="FFC5FFFF"/>
      <color rgb="FF006F6C"/>
      <color rgb="FFEFFFFF"/>
      <color rgb="FFFF8585"/>
      <color rgb="FFF3F6F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Checking\10%20%20TOURISM%20-%20Mo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0.1"/>
      <sheetName val="10.1 figures workings"/>
      <sheetName val="10.2"/>
      <sheetName val="10.3"/>
      <sheetName val="10.4"/>
      <sheetName val="Sheet1"/>
      <sheetName val="10.5"/>
      <sheetName val="10.6"/>
      <sheetName val="10.7"/>
      <sheetName val="10.8"/>
      <sheetName val="10.9"/>
      <sheetName val="10.11"/>
      <sheetName val="10.12"/>
      <sheetName val="10.13"/>
      <sheetName val="10.14"/>
    </sheetNames>
    <sheetDataSet>
      <sheetData sheetId="0"/>
      <sheetData sheetId="1"/>
      <sheetData sheetId="2">
        <row r="40">
          <cell r="AC40" t="str">
            <v>Resorts (including Marinas)</v>
          </cell>
        </row>
      </sheetData>
      <sheetData sheetId="3">
        <row r="19">
          <cell r="AI19" t="str">
            <v xml:space="preserve">Registered Bed Capacity </v>
          </cell>
          <cell r="AJ19" t="str">
            <v xml:space="preserve">Beds in operation </v>
          </cell>
        </row>
        <row r="20">
          <cell r="AH20" t="str">
            <v>Jan</v>
          </cell>
          <cell r="AI20">
            <v>41602</v>
          </cell>
          <cell r="AJ20">
            <v>40943</v>
          </cell>
        </row>
        <row r="21">
          <cell r="AH21" t="str">
            <v>Feb</v>
          </cell>
          <cell r="AI21">
            <v>41710</v>
          </cell>
          <cell r="AJ21">
            <v>40807</v>
          </cell>
        </row>
        <row r="22">
          <cell r="AH22" t="str">
            <v>Mar</v>
          </cell>
          <cell r="AI22">
            <v>42050</v>
          </cell>
          <cell r="AJ22">
            <v>41137</v>
          </cell>
        </row>
        <row r="23">
          <cell r="AH23" t="str">
            <v>Apr</v>
          </cell>
          <cell r="AI23">
            <v>42688</v>
          </cell>
          <cell r="AJ23">
            <v>41835</v>
          </cell>
        </row>
        <row r="24">
          <cell r="AH24" t="str">
            <v>May</v>
          </cell>
          <cell r="AI24">
            <v>42736</v>
          </cell>
          <cell r="AJ24">
            <v>41513</v>
          </cell>
        </row>
        <row r="25">
          <cell r="AH25" t="str">
            <v>Jun</v>
          </cell>
          <cell r="AI25">
            <v>42822</v>
          </cell>
          <cell r="AJ25">
            <v>41503</v>
          </cell>
        </row>
        <row r="26">
          <cell r="AH26" t="str">
            <v>Jul</v>
          </cell>
          <cell r="AI26">
            <v>42929</v>
          </cell>
          <cell r="AJ26">
            <v>41534</v>
          </cell>
        </row>
        <row r="27">
          <cell r="AH27" t="str">
            <v>Aug</v>
          </cell>
          <cell r="AI27">
            <v>43099</v>
          </cell>
          <cell r="AJ27">
            <v>41780</v>
          </cell>
        </row>
        <row r="28">
          <cell r="AH28" t="str">
            <v>Sep</v>
          </cell>
          <cell r="AI28">
            <v>43660</v>
          </cell>
          <cell r="AJ28">
            <v>42355</v>
          </cell>
        </row>
        <row r="29">
          <cell r="AH29" t="str">
            <v>Oct</v>
          </cell>
          <cell r="AI29">
            <v>43806</v>
          </cell>
          <cell r="AJ29">
            <v>42501</v>
          </cell>
        </row>
        <row r="30">
          <cell r="AH30" t="str">
            <v>Nov</v>
          </cell>
          <cell r="AI30">
            <v>44345</v>
          </cell>
          <cell r="AJ30">
            <v>42960</v>
          </cell>
        </row>
        <row r="31">
          <cell r="AH31" t="str">
            <v>Dec</v>
          </cell>
          <cell r="AI31">
            <v>44860</v>
          </cell>
          <cell r="AJ31">
            <v>43448</v>
          </cell>
        </row>
      </sheetData>
      <sheetData sheetId="4">
        <row r="19">
          <cell r="AE19" t="str">
            <v xml:space="preserve">Registered Bed Capacity </v>
          </cell>
        </row>
      </sheetData>
      <sheetData sheetId="5"/>
      <sheetData sheetId="6">
        <row r="21">
          <cell r="AF21" t="str">
            <v xml:space="preserve">Registered Bed Capacity </v>
          </cell>
          <cell r="AG21" t="str">
            <v xml:space="preserve">Beds in operation </v>
          </cell>
        </row>
        <row r="22">
          <cell r="AE22" t="str">
            <v>Jan</v>
          </cell>
          <cell r="AF22">
            <v>10</v>
          </cell>
          <cell r="AG22">
            <v>10</v>
          </cell>
        </row>
        <row r="23">
          <cell r="AE23" t="str">
            <v>Feb</v>
          </cell>
          <cell r="AF23">
            <v>10</v>
          </cell>
          <cell r="AG23">
            <v>10</v>
          </cell>
        </row>
        <row r="24">
          <cell r="AE24" t="str">
            <v>Mar</v>
          </cell>
          <cell r="AF24">
            <v>10</v>
          </cell>
          <cell r="AG24">
            <v>10</v>
          </cell>
        </row>
        <row r="25">
          <cell r="AE25" t="str">
            <v>Apr</v>
          </cell>
          <cell r="AF25">
            <v>12</v>
          </cell>
          <cell r="AG25">
            <v>12</v>
          </cell>
        </row>
        <row r="26">
          <cell r="AE26" t="str">
            <v>May</v>
          </cell>
          <cell r="AF26">
            <v>12</v>
          </cell>
          <cell r="AG26">
            <v>12</v>
          </cell>
        </row>
        <row r="27">
          <cell r="AE27" t="str">
            <v>Jun</v>
          </cell>
          <cell r="AF27">
            <v>12</v>
          </cell>
          <cell r="AG27">
            <v>12</v>
          </cell>
        </row>
        <row r="28">
          <cell r="AE28" t="str">
            <v>Jul</v>
          </cell>
          <cell r="AF28">
            <v>12</v>
          </cell>
          <cell r="AG28">
            <v>12</v>
          </cell>
        </row>
        <row r="29">
          <cell r="AE29" t="str">
            <v>Aug</v>
          </cell>
          <cell r="AF29">
            <v>12</v>
          </cell>
          <cell r="AG29">
            <v>12</v>
          </cell>
        </row>
        <row r="30">
          <cell r="AE30" t="str">
            <v>Sep</v>
          </cell>
          <cell r="AF30">
            <v>12</v>
          </cell>
          <cell r="AG30">
            <v>12</v>
          </cell>
        </row>
        <row r="31">
          <cell r="AE31" t="str">
            <v>Oct</v>
          </cell>
          <cell r="AF31">
            <v>12</v>
          </cell>
          <cell r="AG31">
            <v>12</v>
          </cell>
        </row>
        <row r="32">
          <cell r="AE32" t="str">
            <v>Nov</v>
          </cell>
          <cell r="AF32">
            <v>12</v>
          </cell>
          <cell r="AG32">
            <v>12</v>
          </cell>
        </row>
        <row r="33">
          <cell r="AE33" t="str">
            <v>Dec</v>
          </cell>
          <cell r="AF33">
            <v>12</v>
          </cell>
          <cell r="AG33">
            <v>12</v>
          </cell>
        </row>
      </sheetData>
      <sheetData sheetId="7">
        <row r="19">
          <cell r="AE19" t="str">
            <v xml:space="preserve">Registered Bed Capacity </v>
          </cell>
          <cell r="AF19" t="str">
            <v xml:space="preserve">Beds in operation </v>
          </cell>
        </row>
        <row r="20">
          <cell r="AD20" t="str">
            <v>Jan</v>
          </cell>
          <cell r="AE20">
            <v>7464</v>
          </cell>
          <cell r="AF20">
            <v>7464</v>
          </cell>
        </row>
        <row r="21">
          <cell r="AD21" t="str">
            <v>Feb</v>
          </cell>
          <cell r="AE21">
            <v>7528</v>
          </cell>
          <cell r="AF21">
            <v>7528</v>
          </cell>
        </row>
        <row r="22">
          <cell r="AD22" t="str">
            <v>Mar</v>
          </cell>
          <cell r="AE22">
            <v>7750</v>
          </cell>
          <cell r="AF22">
            <v>7750</v>
          </cell>
        </row>
        <row r="23">
          <cell r="AD23" t="str">
            <v>Apr</v>
          </cell>
          <cell r="AE23">
            <v>7922</v>
          </cell>
          <cell r="AF23">
            <v>7922</v>
          </cell>
        </row>
        <row r="24">
          <cell r="AD24" t="str">
            <v>May</v>
          </cell>
          <cell r="AE24">
            <v>7948</v>
          </cell>
          <cell r="AF24">
            <v>7948</v>
          </cell>
        </row>
        <row r="25">
          <cell r="AD25" t="str">
            <v>Jun</v>
          </cell>
          <cell r="AE25">
            <v>8006</v>
          </cell>
          <cell r="AF25">
            <v>7998</v>
          </cell>
        </row>
        <row r="26">
          <cell r="AD26" t="str">
            <v>Jul</v>
          </cell>
          <cell r="AE26">
            <v>8098</v>
          </cell>
          <cell r="AF26">
            <v>8090</v>
          </cell>
        </row>
        <row r="27">
          <cell r="AD27" t="str">
            <v>Aug</v>
          </cell>
          <cell r="AE27">
            <v>8134</v>
          </cell>
          <cell r="AF27">
            <v>8112</v>
          </cell>
        </row>
        <row r="28">
          <cell r="AD28" t="str">
            <v>Sep</v>
          </cell>
          <cell r="AE28">
            <v>8208</v>
          </cell>
          <cell r="AF28">
            <v>8200</v>
          </cell>
        </row>
        <row r="29">
          <cell r="AD29" t="str">
            <v>Oct</v>
          </cell>
          <cell r="AE29">
            <v>8294</v>
          </cell>
          <cell r="AF29">
            <v>8286</v>
          </cell>
        </row>
        <row r="30">
          <cell r="AD30" t="str">
            <v>Nov</v>
          </cell>
          <cell r="AE30">
            <v>8292</v>
          </cell>
          <cell r="AF30">
            <v>8248</v>
          </cell>
        </row>
        <row r="31">
          <cell r="AD31" t="str">
            <v>Dec</v>
          </cell>
          <cell r="AE31">
            <v>8563</v>
          </cell>
          <cell r="AF31">
            <v>8454</v>
          </cell>
        </row>
      </sheetData>
      <sheetData sheetId="8">
        <row r="20">
          <cell r="AF20" t="str">
            <v xml:space="preserve">Registered Bed Capacity </v>
          </cell>
          <cell r="AG20" t="str">
            <v xml:space="preserve">Beds in operation </v>
          </cell>
        </row>
        <row r="21">
          <cell r="AE21" t="str">
            <v>Jan</v>
          </cell>
          <cell r="AF21">
            <v>2619</v>
          </cell>
          <cell r="AG21">
            <v>2619</v>
          </cell>
        </row>
        <row r="22">
          <cell r="AE22" t="str">
            <v>Feb</v>
          </cell>
          <cell r="AF22">
            <v>2663</v>
          </cell>
          <cell r="AG22">
            <v>2663</v>
          </cell>
        </row>
        <row r="23">
          <cell r="AE23" t="str">
            <v>Mar</v>
          </cell>
          <cell r="AF23">
            <v>2663</v>
          </cell>
          <cell r="AG23">
            <v>2663</v>
          </cell>
        </row>
        <row r="24">
          <cell r="AE24" t="str">
            <v>Apr</v>
          </cell>
          <cell r="AF24">
            <v>2719</v>
          </cell>
          <cell r="AG24">
            <v>2719</v>
          </cell>
        </row>
        <row r="25">
          <cell r="AE25" t="str">
            <v>May</v>
          </cell>
          <cell r="AF25">
            <v>2741</v>
          </cell>
          <cell r="AG25">
            <v>2741</v>
          </cell>
        </row>
        <row r="26">
          <cell r="AE26" t="str">
            <v>Jun</v>
          </cell>
          <cell r="AF26">
            <v>2749</v>
          </cell>
          <cell r="AG26">
            <v>2735</v>
          </cell>
        </row>
        <row r="27">
          <cell r="AE27" t="str">
            <v>Jul</v>
          </cell>
          <cell r="AF27">
            <v>2764</v>
          </cell>
          <cell r="AG27">
            <v>2764</v>
          </cell>
        </row>
        <row r="28">
          <cell r="AE28" t="str">
            <v>Aug</v>
          </cell>
          <cell r="AF28">
            <v>2764</v>
          </cell>
          <cell r="AG28">
            <v>2764</v>
          </cell>
        </row>
        <row r="29">
          <cell r="AE29" t="str">
            <v>Sep</v>
          </cell>
          <cell r="AF29">
            <v>2769</v>
          </cell>
          <cell r="AG29">
            <v>2769</v>
          </cell>
        </row>
        <row r="30">
          <cell r="AE30" t="str">
            <v>Oct</v>
          </cell>
          <cell r="AF30">
            <v>2769</v>
          </cell>
          <cell r="AG30">
            <v>2769</v>
          </cell>
        </row>
        <row r="31">
          <cell r="AE31" t="str">
            <v>Nov</v>
          </cell>
          <cell r="AF31">
            <v>2772</v>
          </cell>
          <cell r="AG31">
            <v>2772</v>
          </cell>
        </row>
        <row r="32">
          <cell r="AE32" t="str">
            <v>Dec</v>
          </cell>
          <cell r="AF32">
            <v>2758</v>
          </cell>
          <cell r="AG32">
            <v>2758</v>
          </cell>
        </row>
      </sheetData>
      <sheetData sheetId="9">
        <row r="15">
          <cell r="A15" t="str">
            <v>Male</v>
          </cell>
        </row>
      </sheetData>
      <sheetData sheetId="10">
        <row r="5">
          <cell r="O5" t="str">
            <v xml:space="preserve">Tourist Arrivals </v>
          </cell>
        </row>
      </sheetData>
      <sheetData sheetId="11">
        <row r="6">
          <cell r="A6" t="str">
            <v>Central/Eastern Europe</v>
          </cell>
        </row>
      </sheetData>
      <sheetData sheetId="12">
        <row r="27">
          <cell r="X27" t="str">
            <v>HA</v>
          </cell>
        </row>
      </sheetData>
      <sheetData sheetId="13">
        <row r="20">
          <cell r="V20" t="str">
            <v>Jan</v>
          </cell>
        </row>
      </sheetData>
      <sheetData sheetId="1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90B16-1296-4F81-B2CE-21F8B3C456D2}">
  <dimension ref="A1:AC336"/>
  <sheetViews>
    <sheetView tabSelected="1" zoomScaleNormal="100" zoomScaleSheetLayoutView="86" workbookViewId="0">
      <pane xSplit="2" topLeftCell="C1" activePane="topRight" state="frozen"/>
      <selection activeCell="A81" sqref="A81"/>
      <selection pane="topRight" activeCell="AC201" sqref="AC201:AC214"/>
    </sheetView>
  </sheetViews>
  <sheetFormatPr defaultColWidth="9.140625" defaultRowHeight="12.75"/>
  <cols>
    <col min="1" max="1" width="5.7109375" style="44" customWidth="1"/>
    <col min="2" max="2" width="51.140625" style="7" customWidth="1"/>
    <col min="3" max="3" width="24" style="3" customWidth="1"/>
    <col min="4" max="5" width="9.28515625" style="8" customWidth="1"/>
    <col min="6" max="6" width="14" style="8" customWidth="1"/>
    <col min="7" max="12" width="8" style="8" hidden="1" customWidth="1"/>
    <col min="13" max="23" width="8" style="8" customWidth="1"/>
    <col min="24" max="24" width="12" style="3" customWidth="1"/>
    <col min="25" max="16384" width="9.140625" style="3"/>
  </cols>
  <sheetData>
    <row r="1" spans="1:26" ht="21" customHeight="1">
      <c r="B1" s="98" t="s">
        <v>370</v>
      </c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  <c r="S1" s="98"/>
      <c r="T1" s="98"/>
      <c r="U1" s="98"/>
      <c r="V1" s="98"/>
      <c r="W1" s="98"/>
      <c r="X1" s="98"/>
    </row>
    <row r="2" spans="1:26" ht="15.75" customHeight="1">
      <c r="B2" s="103" t="s">
        <v>369</v>
      </c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3"/>
      <c r="N2" s="103"/>
      <c r="O2" s="103"/>
      <c r="P2" s="103"/>
      <c r="Q2" s="103"/>
      <c r="R2" s="103"/>
      <c r="S2" s="103"/>
      <c r="T2" s="103"/>
      <c r="U2" s="103"/>
      <c r="V2" s="103"/>
      <c r="W2" s="103"/>
      <c r="X2" s="103"/>
    </row>
    <row r="3" spans="1:26" ht="4.5" customHeight="1"/>
    <row r="4" spans="1:26" ht="22.5" customHeight="1">
      <c r="A4" s="82"/>
      <c r="B4" s="99" t="s">
        <v>9</v>
      </c>
      <c r="C4" s="101" t="s">
        <v>316</v>
      </c>
      <c r="D4" s="81" t="s">
        <v>29</v>
      </c>
      <c r="E4" s="80" t="s">
        <v>30</v>
      </c>
      <c r="F4" s="80" t="s">
        <v>31</v>
      </c>
      <c r="G4" s="9"/>
      <c r="H4" s="10"/>
      <c r="I4" s="10"/>
      <c r="J4" s="10"/>
      <c r="K4" s="104" t="s">
        <v>32</v>
      </c>
      <c r="L4" s="104"/>
      <c r="M4" s="104"/>
      <c r="N4" s="104"/>
      <c r="O4" s="104"/>
      <c r="P4" s="104"/>
      <c r="Q4" s="104"/>
      <c r="R4" s="104"/>
      <c r="S4" s="104"/>
      <c r="T4" s="104"/>
      <c r="U4" s="104"/>
      <c r="V4" s="104"/>
      <c r="W4" s="104"/>
      <c r="X4" s="11" t="s">
        <v>10</v>
      </c>
    </row>
    <row r="5" spans="1:26" ht="13.5" customHeight="1">
      <c r="A5" s="79"/>
      <c r="B5" s="100"/>
      <c r="C5" s="102"/>
      <c r="D5" s="78" t="s">
        <v>33</v>
      </c>
      <c r="E5" s="78" t="s">
        <v>34</v>
      </c>
      <c r="F5" s="78" t="s">
        <v>35</v>
      </c>
      <c r="G5" s="12">
        <v>2007</v>
      </c>
      <c r="H5" s="12">
        <v>2008</v>
      </c>
      <c r="I5" s="12">
        <v>2009</v>
      </c>
      <c r="J5" s="12">
        <v>2010</v>
      </c>
      <c r="K5" s="12">
        <v>2011</v>
      </c>
      <c r="L5" s="12">
        <v>2012</v>
      </c>
      <c r="M5" s="12">
        <v>2013</v>
      </c>
      <c r="N5" s="12">
        <v>2014</v>
      </c>
      <c r="O5" s="12">
        <v>2015</v>
      </c>
      <c r="P5" s="12">
        <v>2016</v>
      </c>
      <c r="Q5" s="12">
        <v>2017</v>
      </c>
      <c r="R5" s="12">
        <v>2018</v>
      </c>
      <c r="S5" s="12">
        <v>2019</v>
      </c>
      <c r="T5" s="12">
        <v>2020</v>
      </c>
      <c r="U5" s="12">
        <v>2021</v>
      </c>
      <c r="V5" s="12">
        <v>2022</v>
      </c>
      <c r="W5" s="12">
        <v>2023</v>
      </c>
      <c r="X5" s="13" t="s">
        <v>368</v>
      </c>
    </row>
    <row r="6" spans="1:26" ht="20.25" customHeight="1">
      <c r="B6" s="66" t="s">
        <v>36</v>
      </c>
      <c r="C6" s="65"/>
      <c r="D6" s="14" t="s">
        <v>7</v>
      </c>
      <c r="E6" s="14" t="s">
        <v>7</v>
      </c>
      <c r="F6" s="14" t="s">
        <v>7</v>
      </c>
      <c r="G6" s="51">
        <f>G25+G43+G61+G75+G137+G151+G171+G177+G181+G183+G7+G209</f>
        <v>18724</v>
      </c>
      <c r="H6" s="51">
        <f>H25+H43+H61+H75+H137+H151+H171+H177+H181+H183+H7+H209+H16</f>
        <v>19556</v>
      </c>
      <c r="I6" s="51">
        <f>I25+I43+I61+I75+I137+I151+I171+I177+I181+I183+I7+I209+I16+I198</f>
        <v>20638</v>
      </c>
      <c r="J6" s="51">
        <f>J25+J43+J61+J75+J137+J151+J171+J177+J181+J183+J7+J209+J16+J198</f>
        <v>21046</v>
      </c>
      <c r="K6" s="51">
        <f>K25+K43+K61+K75+K137+K151+K171+K177+K181+K183+K7+K209+K16+K198+K195+K205</f>
        <v>21816</v>
      </c>
      <c r="L6" s="51">
        <f>L25+L43+L61+L75+L137+L151+L171+L177+L181+L183+L7+L209+L16+L198+L195+L205+L13</f>
        <v>22585</v>
      </c>
      <c r="M6" s="51">
        <f>M7+M13+M16+M25+M43+M61+M75+M137+M151+M171+M177+M181+M183+M195+M198+M205+M209+M193</f>
        <v>23487</v>
      </c>
      <c r="N6" s="51">
        <f>N7+N13+N16+N25+N43+N61+N75+N137+N151+N171+N177+N181+N183+N195+N198+N205+N209+N193</f>
        <v>24031</v>
      </c>
      <c r="O6" s="51">
        <f>O7+O13+O16+O25+O43+O61+O75+O137+O151+O171+O177+O181+O183+O195+O198+O205+O209+O193</f>
        <v>24877</v>
      </c>
      <c r="P6" s="51">
        <f>P7+P13+P16+P25+P43+P61+P75+P137+P151+P171+P177+P181+P183+P195+P198+P205+P209+P193</f>
        <v>26933</v>
      </c>
      <c r="Q6" s="51">
        <f>Q7+Q13+Q16+Q25+Q43+Q61+Q75+Q137+Q151+Q171+Q177+Q181+Q183+Q195+Q198+Q205+Q209+Q193</f>
        <v>29977</v>
      </c>
      <c r="R6" s="51">
        <f t="shared" ref="R6:W6" si="0">R7+R13+R16+R25+R43+R61+R75+R137+R151+R171+R177+R181+R183+R195+R198+R205+R209+R193+R11</f>
        <v>31477</v>
      </c>
      <c r="S6" s="51">
        <f t="shared" si="0"/>
        <v>37016</v>
      </c>
      <c r="T6" s="51">
        <f t="shared" si="0"/>
        <v>37134</v>
      </c>
      <c r="U6" s="51">
        <f t="shared" si="0"/>
        <v>39604</v>
      </c>
      <c r="V6" s="51">
        <f t="shared" si="0"/>
        <v>42011</v>
      </c>
      <c r="W6" s="51">
        <f t="shared" si="0"/>
        <v>44125</v>
      </c>
      <c r="X6" s="86">
        <f>W6/W$6*100</f>
        <v>100</v>
      </c>
      <c r="Z6" s="42"/>
    </row>
    <row r="7" spans="1:26" ht="20.25" customHeight="1">
      <c r="B7" s="66" t="s">
        <v>11</v>
      </c>
      <c r="C7" s="65"/>
      <c r="D7" s="14" t="s">
        <v>7</v>
      </c>
      <c r="E7" s="14" t="s">
        <v>7</v>
      </c>
      <c r="F7" s="14" t="s">
        <v>7</v>
      </c>
      <c r="G7" s="51">
        <f t="shared" ref="G7:U7" si="1">SUM(G8:G10)</f>
        <v>390</v>
      </c>
      <c r="H7" s="51">
        <f t="shared" si="1"/>
        <v>432</v>
      </c>
      <c r="I7" s="51">
        <f t="shared" si="1"/>
        <v>432</v>
      </c>
      <c r="J7" s="51">
        <f t="shared" si="1"/>
        <v>456</v>
      </c>
      <c r="K7" s="51">
        <f t="shared" si="1"/>
        <v>456</v>
      </c>
      <c r="L7" s="51">
        <f t="shared" si="1"/>
        <v>456</v>
      </c>
      <c r="M7" s="51">
        <f t="shared" si="1"/>
        <v>456</v>
      </c>
      <c r="N7" s="51">
        <f t="shared" si="1"/>
        <v>464</v>
      </c>
      <c r="O7" s="51">
        <f t="shared" si="1"/>
        <v>464</v>
      </c>
      <c r="P7" s="51">
        <f t="shared" si="1"/>
        <v>464</v>
      </c>
      <c r="Q7" s="51">
        <f t="shared" si="1"/>
        <v>594</v>
      </c>
      <c r="R7" s="51">
        <f t="shared" si="1"/>
        <v>594</v>
      </c>
      <c r="S7" s="51">
        <f t="shared" si="1"/>
        <v>594</v>
      </c>
      <c r="T7" s="51">
        <f t="shared" si="1"/>
        <v>394</v>
      </c>
      <c r="U7" s="51">
        <f t="shared" si="1"/>
        <v>394</v>
      </c>
      <c r="V7" s="51">
        <f t="shared" ref="V7:W7" si="2">SUM(V8:V10)</f>
        <v>446</v>
      </c>
      <c r="W7" s="51">
        <f t="shared" si="2"/>
        <v>446</v>
      </c>
      <c r="X7" s="86">
        <f>W7/W$6*100</f>
        <v>1.0107648725212466</v>
      </c>
    </row>
    <row r="8" spans="1:26" s="15" customFormat="1" ht="20.25" customHeight="1">
      <c r="A8" s="64">
        <v>1</v>
      </c>
      <c r="B8" s="63" t="s">
        <v>124</v>
      </c>
      <c r="C8" s="6" t="s">
        <v>382</v>
      </c>
      <c r="D8" s="62">
        <v>2007</v>
      </c>
      <c r="E8" s="1">
        <v>66</v>
      </c>
      <c r="F8" s="1">
        <v>300</v>
      </c>
      <c r="G8" s="1">
        <v>200</v>
      </c>
      <c r="H8" s="1">
        <v>200</v>
      </c>
      <c r="I8" s="1">
        <v>200</v>
      </c>
      <c r="J8" s="1">
        <v>200</v>
      </c>
      <c r="K8" s="1">
        <v>200</v>
      </c>
      <c r="L8" s="1">
        <v>200</v>
      </c>
      <c r="M8" s="1">
        <v>200</v>
      </c>
      <c r="N8" s="1">
        <v>200</v>
      </c>
      <c r="O8" s="1">
        <v>200</v>
      </c>
      <c r="P8" s="1">
        <v>200</v>
      </c>
      <c r="Q8" s="1">
        <v>200</v>
      </c>
      <c r="R8" s="1">
        <v>200</v>
      </c>
      <c r="S8" s="1">
        <v>200</v>
      </c>
      <c r="T8" s="1">
        <v>0</v>
      </c>
      <c r="U8" s="1">
        <v>0</v>
      </c>
      <c r="V8" s="1">
        <v>0</v>
      </c>
      <c r="W8" s="1">
        <v>0</v>
      </c>
      <c r="X8" s="48">
        <f t="shared" ref="X8:X73" si="3">W8/W$6*100</f>
        <v>0</v>
      </c>
    </row>
    <row r="9" spans="1:26" s="15" customFormat="1" ht="20.25" customHeight="1">
      <c r="A9" s="64">
        <v>2</v>
      </c>
      <c r="B9" s="63" t="s">
        <v>37</v>
      </c>
      <c r="C9" s="6" t="s">
        <v>383</v>
      </c>
      <c r="D9" s="62">
        <v>2005</v>
      </c>
      <c r="E9" s="1">
        <v>50</v>
      </c>
      <c r="F9" s="1">
        <v>250</v>
      </c>
      <c r="G9" s="1">
        <v>90</v>
      </c>
      <c r="H9" s="1">
        <v>90</v>
      </c>
      <c r="I9" s="1">
        <v>90</v>
      </c>
      <c r="J9" s="1">
        <v>90</v>
      </c>
      <c r="K9" s="1">
        <v>90</v>
      </c>
      <c r="L9" s="1">
        <v>90</v>
      </c>
      <c r="M9" s="1">
        <v>90</v>
      </c>
      <c r="N9" s="1">
        <v>90</v>
      </c>
      <c r="O9" s="1">
        <v>90</v>
      </c>
      <c r="P9" s="1">
        <v>90</v>
      </c>
      <c r="Q9" s="1">
        <v>220</v>
      </c>
      <c r="R9" s="1">
        <v>220</v>
      </c>
      <c r="S9" s="1">
        <v>220</v>
      </c>
      <c r="T9" s="1">
        <v>220</v>
      </c>
      <c r="U9" s="1">
        <v>220</v>
      </c>
      <c r="V9" s="1">
        <v>272</v>
      </c>
      <c r="W9" s="1">
        <v>272</v>
      </c>
      <c r="X9" s="48">
        <f t="shared" si="3"/>
        <v>0.61643059490084984</v>
      </c>
    </row>
    <row r="10" spans="1:26" s="15" customFormat="1" ht="20.25" customHeight="1">
      <c r="A10" s="64">
        <v>3</v>
      </c>
      <c r="B10" s="27" t="s">
        <v>125</v>
      </c>
      <c r="C10" s="37" t="s">
        <v>387</v>
      </c>
      <c r="D10" s="70">
        <v>2007</v>
      </c>
      <c r="E10" s="17">
        <v>100</v>
      </c>
      <c r="F10" s="17">
        <v>337</v>
      </c>
      <c r="G10" s="17">
        <v>100</v>
      </c>
      <c r="H10" s="17">
        <v>142</v>
      </c>
      <c r="I10" s="17">
        <v>142</v>
      </c>
      <c r="J10" s="17">
        <v>166</v>
      </c>
      <c r="K10" s="17">
        <v>166</v>
      </c>
      <c r="L10" s="17">
        <v>166</v>
      </c>
      <c r="M10" s="18">
        <v>166</v>
      </c>
      <c r="N10" s="18">
        <v>174</v>
      </c>
      <c r="O10" s="18">
        <v>174</v>
      </c>
      <c r="P10" s="18">
        <v>174</v>
      </c>
      <c r="Q10" s="18">
        <v>174</v>
      </c>
      <c r="R10" s="18">
        <v>174</v>
      </c>
      <c r="S10" s="18">
        <v>174</v>
      </c>
      <c r="T10" s="18">
        <v>174</v>
      </c>
      <c r="U10" s="18">
        <v>174</v>
      </c>
      <c r="V10" s="18">
        <v>174</v>
      </c>
      <c r="W10" s="18">
        <v>174</v>
      </c>
      <c r="X10" s="87">
        <f t="shared" si="3"/>
        <v>0.39433427762039663</v>
      </c>
    </row>
    <row r="11" spans="1:26" s="15" customFormat="1" ht="20.25" customHeight="1">
      <c r="A11" s="64"/>
      <c r="B11" s="66" t="s">
        <v>38</v>
      </c>
      <c r="C11" s="65"/>
      <c r="D11" s="14" t="s">
        <v>7</v>
      </c>
      <c r="E11" s="14" t="s">
        <v>7</v>
      </c>
      <c r="F11" s="14" t="s">
        <v>7</v>
      </c>
      <c r="G11" s="14" t="s">
        <v>7</v>
      </c>
      <c r="H11" s="14" t="s">
        <v>7</v>
      </c>
      <c r="I11" s="14" t="s">
        <v>7</v>
      </c>
      <c r="J11" s="14" t="s">
        <v>7</v>
      </c>
      <c r="K11" s="14" t="s">
        <v>7</v>
      </c>
      <c r="L11" s="14" t="s">
        <v>7</v>
      </c>
      <c r="M11" s="14" t="s">
        <v>7</v>
      </c>
      <c r="N11" s="14" t="s">
        <v>7</v>
      </c>
      <c r="O11" s="14" t="s">
        <v>7</v>
      </c>
      <c r="P11" s="14" t="s">
        <v>7</v>
      </c>
      <c r="Q11" s="14" t="s">
        <v>7</v>
      </c>
      <c r="R11" s="14">
        <f t="shared" ref="R11:W11" si="4">SUM(R12)</f>
        <v>118</v>
      </c>
      <c r="S11" s="14">
        <f t="shared" si="4"/>
        <v>118</v>
      </c>
      <c r="T11" s="14">
        <f t="shared" si="4"/>
        <v>118</v>
      </c>
      <c r="U11" s="14">
        <f t="shared" si="4"/>
        <v>118</v>
      </c>
      <c r="V11" s="14">
        <f t="shared" si="4"/>
        <v>118</v>
      </c>
      <c r="W11" s="14">
        <f t="shared" si="4"/>
        <v>118</v>
      </c>
      <c r="X11" s="88">
        <f>W11/W$6*100</f>
        <v>0.26742209631728048</v>
      </c>
    </row>
    <row r="12" spans="1:26" s="15" customFormat="1" ht="20.25" customHeight="1">
      <c r="A12" s="64">
        <v>3</v>
      </c>
      <c r="B12" s="63" t="s">
        <v>126</v>
      </c>
      <c r="C12" s="6" t="s">
        <v>386</v>
      </c>
      <c r="D12" s="62" t="s">
        <v>5</v>
      </c>
      <c r="E12" s="1">
        <v>118</v>
      </c>
      <c r="F12" s="1">
        <v>291</v>
      </c>
      <c r="G12" s="51" t="s">
        <v>7</v>
      </c>
      <c r="H12" s="51" t="s">
        <v>7</v>
      </c>
      <c r="I12" s="51" t="s">
        <v>7</v>
      </c>
      <c r="J12" s="51" t="s">
        <v>7</v>
      </c>
      <c r="K12" s="51" t="s">
        <v>7</v>
      </c>
      <c r="L12" s="51" t="s">
        <v>7</v>
      </c>
      <c r="M12" s="51" t="s">
        <v>7</v>
      </c>
      <c r="N12" s="51" t="s">
        <v>7</v>
      </c>
      <c r="O12" s="51" t="s">
        <v>7</v>
      </c>
      <c r="P12" s="51" t="s">
        <v>7</v>
      </c>
      <c r="Q12" s="51" t="s">
        <v>7</v>
      </c>
      <c r="R12" s="1">
        <v>118</v>
      </c>
      <c r="S12" s="1">
        <v>118</v>
      </c>
      <c r="T12" s="1">
        <v>118</v>
      </c>
      <c r="U12" s="1">
        <v>118</v>
      </c>
      <c r="V12" s="1">
        <v>118</v>
      </c>
      <c r="W12" s="1">
        <v>118</v>
      </c>
      <c r="X12" s="48">
        <f t="shared" si="3"/>
        <v>0.26742209631728048</v>
      </c>
    </row>
    <row r="13" spans="1:26" s="29" customFormat="1" ht="20.25" customHeight="1">
      <c r="A13" s="84"/>
      <c r="B13" s="66" t="s">
        <v>12</v>
      </c>
      <c r="C13" s="65"/>
      <c r="D13" s="14" t="s">
        <v>7</v>
      </c>
      <c r="E13" s="14" t="s">
        <v>7</v>
      </c>
      <c r="F13" s="14" t="s">
        <v>7</v>
      </c>
      <c r="G13" s="51">
        <f t="shared" ref="G13:P13" si="5">SUM(G15)</f>
        <v>0</v>
      </c>
      <c r="H13" s="51">
        <f t="shared" si="5"/>
        <v>0</v>
      </c>
      <c r="I13" s="51">
        <f t="shared" si="5"/>
        <v>0</v>
      </c>
      <c r="J13" s="51">
        <f t="shared" si="5"/>
        <v>0</v>
      </c>
      <c r="K13" s="51">
        <f t="shared" si="5"/>
        <v>0</v>
      </c>
      <c r="L13" s="51">
        <f t="shared" si="5"/>
        <v>97</v>
      </c>
      <c r="M13" s="51">
        <f t="shared" si="5"/>
        <v>159</v>
      </c>
      <c r="N13" s="51">
        <f t="shared" si="5"/>
        <v>159</v>
      </c>
      <c r="O13" s="51">
        <f t="shared" si="5"/>
        <v>159</v>
      </c>
      <c r="P13" s="51">
        <f t="shared" si="5"/>
        <v>159</v>
      </c>
      <c r="Q13" s="51">
        <f t="shared" ref="Q13:V13" si="6">SUM(Q14:Q15)</f>
        <v>227</v>
      </c>
      <c r="R13" s="51">
        <f t="shared" si="6"/>
        <v>227</v>
      </c>
      <c r="S13" s="51">
        <f t="shared" si="6"/>
        <v>457</v>
      </c>
      <c r="T13" s="51">
        <f t="shared" si="6"/>
        <v>457</v>
      </c>
      <c r="U13" s="51">
        <f t="shared" si="6"/>
        <v>457</v>
      </c>
      <c r="V13" s="51">
        <f t="shared" si="6"/>
        <v>444</v>
      </c>
      <c r="W13" s="51">
        <f t="shared" ref="W13" si="7">SUM(W14:W15)</f>
        <v>444</v>
      </c>
      <c r="X13" s="86">
        <f t="shared" si="3"/>
        <v>1.0062322946175639</v>
      </c>
    </row>
    <row r="14" spans="1:26" s="15" customFormat="1" ht="20.25" customHeight="1">
      <c r="A14" s="64">
        <v>4</v>
      </c>
      <c r="B14" s="63" t="s">
        <v>127</v>
      </c>
      <c r="C14" s="6" t="s">
        <v>385</v>
      </c>
      <c r="D14" s="71">
        <v>2017</v>
      </c>
      <c r="E14" s="1">
        <v>68</v>
      </c>
      <c r="F14" s="1">
        <v>240</v>
      </c>
      <c r="G14" s="51" t="s">
        <v>7</v>
      </c>
      <c r="H14" s="51" t="s">
        <v>7</v>
      </c>
      <c r="I14" s="51" t="s">
        <v>7</v>
      </c>
      <c r="J14" s="51" t="s">
        <v>7</v>
      </c>
      <c r="K14" s="51" t="s">
        <v>7</v>
      </c>
      <c r="L14" s="51" t="s">
        <v>7</v>
      </c>
      <c r="M14" s="51" t="s">
        <v>7</v>
      </c>
      <c r="N14" s="1" t="s">
        <v>7</v>
      </c>
      <c r="O14" s="1" t="s">
        <v>7</v>
      </c>
      <c r="P14" s="51" t="s">
        <v>7</v>
      </c>
      <c r="Q14" s="5">
        <v>68</v>
      </c>
      <c r="R14" s="5">
        <v>68</v>
      </c>
      <c r="S14" s="5">
        <v>298</v>
      </c>
      <c r="T14" s="5">
        <v>298</v>
      </c>
      <c r="U14" s="5">
        <v>298</v>
      </c>
      <c r="V14" s="5">
        <v>298</v>
      </c>
      <c r="W14" s="5">
        <v>146</v>
      </c>
      <c r="X14" s="89">
        <f t="shared" si="3"/>
        <v>0.33087818696883853</v>
      </c>
    </row>
    <row r="15" spans="1:26" s="15" customFormat="1" ht="20.25" customHeight="1">
      <c r="A15" s="16">
        <v>5</v>
      </c>
      <c r="B15" s="27" t="s">
        <v>117</v>
      </c>
      <c r="C15" s="37" t="s">
        <v>384</v>
      </c>
      <c r="D15" s="72">
        <v>2012</v>
      </c>
      <c r="E15" s="19">
        <v>97</v>
      </c>
      <c r="F15" s="17">
        <v>214</v>
      </c>
      <c r="G15" s="19" t="s">
        <v>7</v>
      </c>
      <c r="H15" s="19" t="s">
        <v>7</v>
      </c>
      <c r="I15" s="19" t="s">
        <v>7</v>
      </c>
      <c r="J15" s="19" t="s">
        <v>7</v>
      </c>
      <c r="K15" s="19" t="s">
        <v>7</v>
      </c>
      <c r="L15" s="24">
        <v>97</v>
      </c>
      <c r="M15" s="18">
        <v>159</v>
      </c>
      <c r="N15" s="18">
        <v>159</v>
      </c>
      <c r="O15" s="18">
        <v>159</v>
      </c>
      <c r="P15" s="18">
        <v>159</v>
      </c>
      <c r="Q15" s="18">
        <v>159</v>
      </c>
      <c r="R15" s="18">
        <v>159</v>
      </c>
      <c r="S15" s="18">
        <v>159</v>
      </c>
      <c r="T15" s="18">
        <v>159</v>
      </c>
      <c r="U15" s="18">
        <v>159</v>
      </c>
      <c r="V15" s="18">
        <v>146</v>
      </c>
      <c r="W15" s="18">
        <v>298</v>
      </c>
      <c r="X15" s="87">
        <f t="shared" si="3"/>
        <v>0.67535410764872528</v>
      </c>
    </row>
    <row r="16" spans="1:26" ht="20.25" customHeight="1">
      <c r="A16" s="64"/>
      <c r="B16" s="66" t="s">
        <v>13</v>
      </c>
      <c r="C16" s="65"/>
      <c r="D16" s="14" t="s">
        <v>7</v>
      </c>
      <c r="E16" s="14" t="s">
        <v>7</v>
      </c>
      <c r="F16" s="14" t="s">
        <v>7</v>
      </c>
      <c r="G16" s="51">
        <f t="shared" ref="G16:L16" si="8">SUM(G19:G24)</f>
        <v>0</v>
      </c>
      <c r="H16" s="51">
        <f t="shared" si="8"/>
        <v>400</v>
      </c>
      <c r="I16" s="51">
        <f t="shared" si="8"/>
        <v>490</v>
      </c>
      <c r="J16" s="51">
        <f t="shared" si="8"/>
        <v>542</v>
      </c>
      <c r="K16" s="51">
        <f t="shared" si="8"/>
        <v>542</v>
      </c>
      <c r="L16" s="51">
        <f t="shared" si="8"/>
        <v>542</v>
      </c>
      <c r="M16" s="51">
        <f t="shared" ref="M16:U16" si="9">SUM(M17:M24)</f>
        <v>796</v>
      </c>
      <c r="N16" s="51">
        <f t="shared" si="9"/>
        <v>796</v>
      </c>
      <c r="O16" s="51">
        <f t="shared" si="9"/>
        <v>796</v>
      </c>
      <c r="P16" s="51">
        <f t="shared" si="9"/>
        <v>832</v>
      </c>
      <c r="Q16" s="51">
        <f t="shared" si="9"/>
        <v>1176</v>
      </c>
      <c r="R16" s="51">
        <f t="shared" si="9"/>
        <v>1388</v>
      </c>
      <c r="S16" s="51">
        <f t="shared" si="9"/>
        <v>1398</v>
      </c>
      <c r="T16" s="51">
        <f t="shared" si="9"/>
        <v>1436</v>
      </c>
      <c r="U16" s="51">
        <f t="shared" si="9"/>
        <v>2134</v>
      </c>
      <c r="V16" s="51">
        <f t="shared" ref="V16:W16" si="10">SUM(V17:V24)</f>
        <v>2542</v>
      </c>
      <c r="W16" s="51">
        <f t="shared" si="10"/>
        <v>2542</v>
      </c>
      <c r="X16" s="86">
        <f t="shared" si="3"/>
        <v>5.7609065155807366</v>
      </c>
    </row>
    <row r="17" spans="1:24" ht="20.25" customHeight="1">
      <c r="A17" s="64">
        <v>6</v>
      </c>
      <c r="B17" s="63" t="s">
        <v>128</v>
      </c>
      <c r="C17" s="6" t="s">
        <v>388</v>
      </c>
      <c r="D17" s="74">
        <v>2013</v>
      </c>
      <c r="E17" s="74">
        <v>120</v>
      </c>
      <c r="F17" s="74">
        <v>169</v>
      </c>
      <c r="G17" s="74" t="s">
        <v>7</v>
      </c>
      <c r="H17" s="74" t="s">
        <v>7</v>
      </c>
      <c r="I17" s="74" t="s">
        <v>7</v>
      </c>
      <c r="J17" s="74" t="s">
        <v>7</v>
      </c>
      <c r="K17" s="74" t="s">
        <v>7</v>
      </c>
      <c r="L17" s="74" t="s">
        <v>7</v>
      </c>
      <c r="M17" s="1">
        <v>120</v>
      </c>
      <c r="N17" s="1">
        <v>120</v>
      </c>
      <c r="O17" s="1">
        <v>120</v>
      </c>
      <c r="P17" s="1">
        <v>120</v>
      </c>
      <c r="Q17" s="1">
        <v>120</v>
      </c>
      <c r="R17" s="1">
        <v>120</v>
      </c>
      <c r="S17" s="1">
        <v>120</v>
      </c>
      <c r="T17" s="1">
        <v>120</v>
      </c>
      <c r="U17" s="1">
        <v>120</v>
      </c>
      <c r="V17" s="1">
        <v>120</v>
      </c>
      <c r="W17" s="1">
        <v>120</v>
      </c>
      <c r="X17" s="48">
        <f t="shared" si="3"/>
        <v>0.27195467422096314</v>
      </c>
    </row>
    <row r="18" spans="1:24" ht="20.25" customHeight="1">
      <c r="A18" s="64">
        <v>7</v>
      </c>
      <c r="B18" s="63" t="s">
        <v>40</v>
      </c>
      <c r="C18" s="6" t="s">
        <v>389</v>
      </c>
      <c r="D18" s="62" t="s">
        <v>5</v>
      </c>
      <c r="E18" s="74">
        <v>212</v>
      </c>
      <c r="F18" s="1">
        <v>188</v>
      </c>
      <c r="G18" s="1"/>
      <c r="H18" s="74" t="s">
        <v>7</v>
      </c>
      <c r="I18" s="74" t="s">
        <v>7</v>
      </c>
      <c r="J18" s="74" t="s">
        <v>7</v>
      </c>
      <c r="K18" s="74" t="s">
        <v>7</v>
      </c>
      <c r="L18" s="74" t="s">
        <v>7</v>
      </c>
      <c r="M18" s="51" t="s">
        <v>7</v>
      </c>
      <c r="N18" s="51" t="s">
        <v>7</v>
      </c>
      <c r="O18" s="51" t="s">
        <v>7</v>
      </c>
      <c r="P18" s="51" t="s">
        <v>7</v>
      </c>
      <c r="Q18" s="51" t="s">
        <v>7</v>
      </c>
      <c r="R18" s="1">
        <v>212</v>
      </c>
      <c r="S18" s="1">
        <v>222</v>
      </c>
      <c r="T18" s="1">
        <v>222</v>
      </c>
      <c r="U18" s="1">
        <v>222</v>
      </c>
      <c r="V18" s="1">
        <v>222</v>
      </c>
      <c r="W18" s="1">
        <v>222</v>
      </c>
      <c r="X18" s="48">
        <f t="shared" si="3"/>
        <v>0.50311614730878196</v>
      </c>
    </row>
    <row r="19" spans="1:24" ht="20.25" customHeight="1">
      <c r="A19" s="64">
        <v>8</v>
      </c>
      <c r="B19" s="63" t="s">
        <v>129</v>
      </c>
      <c r="C19" s="6" t="s">
        <v>390</v>
      </c>
      <c r="D19" s="71">
        <v>2008</v>
      </c>
      <c r="E19" s="1">
        <v>100</v>
      </c>
      <c r="F19" s="1">
        <v>180</v>
      </c>
      <c r="G19" s="1" t="s">
        <v>7</v>
      </c>
      <c r="H19" s="1">
        <v>100</v>
      </c>
      <c r="I19" s="1">
        <v>100</v>
      </c>
      <c r="J19" s="1">
        <v>100</v>
      </c>
      <c r="K19" s="1">
        <v>100</v>
      </c>
      <c r="L19" s="1">
        <v>100</v>
      </c>
      <c r="M19" s="1">
        <v>100</v>
      </c>
      <c r="N19" s="1">
        <v>100</v>
      </c>
      <c r="O19" s="1">
        <v>100</v>
      </c>
      <c r="P19" s="1">
        <v>100</v>
      </c>
      <c r="Q19" s="1">
        <v>100</v>
      </c>
      <c r="R19" s="1">
        <v>100</v>
      </c>
      <c r="S19" s="1">
        <v>100</v>
      </c>
      <c r="T19" s="1">
        <v>100</v>
      </c>
      <c r="U19" s="1">
        <v>100</v>
      </c>
      <c r="V19" s="1">
        <v>100</v>
      </c>
      <c r="W19" s="1">
        <v>100</v>
      </c>
      <c r="X19" s="48">
        <f t="shared" si="3"/>
        <v>0.22662889518413595</v>
      </c>
    </row>
    <row r="20" spans="1:24" ht="20.25" customHeight="1">
      <c r="A20" s="64">
        <v>9</v>
      </c>
      <c r="B20" s="63" t="s">
        <v>347</v>
      </c>
      <c r="C20" s="6" t="s">
        <v>391</v>
      </c>
      <c r="D20" s="71">
        <v>2017</v>
      </c>
      <c r="E20" s="1">
        <v>300</v>
      </c>
      <c r="F20" s="1">
        <v>200</v>
      </c>
      <c r="G20" s="74" t="s">
        <v>7</v>
      </c>
      <c r="H20" s="74" t="s">
        <v>7</v>
      </c>
      <c r="I20" s="74" t="s">
        <v>7</v>
      </c>
      <c r="J20" s="74" t="s">
        <v>7</v>
      </c>
      <c r="K20" s="74" t="s">
        <v>7</v>
      </c>
      <c r="L20" s="74" t="s">
        <v>7</v>
      </c>
      <c r="M20" s="74" t="s">
        <v>7</v>
      </c>
      <c r="N20" s="74" t="s">
        <v>7</v>
      </c>
      <c r="O20" s="74" t="s">
        <v>7</v>
      </c>
      <c r="P20" s="74" t="s">
        <v>7</v>
      </c>
      <c r="Q20" s="1">
        <v>300</v>
      </c>
      <c r="R20" s="1">
        <v>300</v>
      </c>
      <c r="S20" s="1">
        <v>300</v>
      </c>
      <c r="T20" s="1">
        <v>300</v>
      </c>
      <c r="U20" s="1">
        <v>300</v>
      </c>
      <c r="V20" s="1">
        <v>300</v>
      </c>
      <c r="W20" s="1">
        <v>300</v>
      </c>
      <c r="X20" s="48">
        <f t="shared" si="3"/>
        <v>0.67988668555240794</v>
      </c>
    </row>
    <row r="21" spans="1:24" ht="20.25" customHeight="1">
      <c r="A21" s="64">
        <v>10</v>
      </c>
      <c r="B21" s="63" t="s">
        <v>332</v>
      </c>
      <c r="C21" s="6" t="s">
        <v>392</v>
      </c>
      <c r="D21" s="71">
        <v>2021</v>
      </c>
      <c r="E21" s="1">
        <v>698</v>
      </c>
      <c r="F21" s="1">
        <v>173</v>
      </c>
      <c r="G21" s="74" t="s">
        <v>7</v>
      </c>
      <c r="H21" s="74" t="s">
        <v>7</v>
      </c>
      <c r="I21" s="74" t="s">
        <v>7</v>
      </c>
      <c r="J21" s="74" t="s">
        <v>7</v>
      </c>
      <c r="K21" s="74" t="s">
        <v>7</v>
      </c>
      <c r="L21" s="74" t="s">
        <v>7</v>
      </c>
      <c r="M21" s="74" t="s">
        <v>7</v>
      </c>
      <c r="N21" s="74" t="s">
        <v>7</v>
      </c>
      <c r="O21" s="74" t="s">
        <v>7</v>
      </c>
      <c r="P21" s="74" t="s">
        <v>7</v>
      </c>
      <c r="Q21" s="1" t="s">
        <v>7</v>
      </c>
      <c r="R21" s="1" t="s">
        <v>7</v>
      </c>
      <c r="S21" s="1" t="s">
        <v>7</v>
      </c>
      <c r="T21" s="1" t="s">
        <v>7</v>
      </c>
      <c r="U21" s="1">
        <v>698</v>
      </c>
      <c r="V21" s="1">
        <v>1060</v>
      </c>
      <c r="W21" s="1">
        <v>1060</v>
      </c>
      <c r="X21" s="48">
        <f t="shared" si="3"/>
        <v>2.4022662889518416</v>
      </c>
    </row>
    <row r="22" spans="1:24" ht="20.25" customHeight="1">
      <c r="A22" s="64">
        <v>11</v>
      </c>
      <c r="B22" s="63" t="s">
        <v>130</v>
      </c>
      <c r="C22" s="6" t="s">
        <v>393</v>
      </c>
      <c r="D22" s="71">
        <v>2016</v>
      </c>
      <c r="E22" s="1">
        <v>36</v>
      </c>
      <c r="F22" s="1">
        <v>170</v>
      </c>
      <c r="G22" s="1" t="s">
        <v>7</v>
      </c>
      <c r="H22" s="1" t="s">
        <v>7</v>
      </c>
      <c r="I22" s="1" t="s">
        <v>7</v>
      </c>
      <c r="J22" s="1" t="s">
        <v>7</v>
      </c>
      <c r="K22" s="1" t="s">
        <v>7</v>
      </c>
      <c r="L22" s="1" t="s">
        <v>7</v>
      </c>
      <c r="M22" s="1" t="s">
        <v>7</v>
      </c>
      <c r="N22" s="1" t="s">
        <v>7</v>
      </c>
      <c r="O22" s="1" t="s">
        <v>7</v>
      </c>
      <c r="P22" s="1">
        <v>36</v>
      </c>
      <c r="Q22" s="1">
        <v>74</v>
      </c>
      <c r="R22" s="1">
        <v>74</v>
      </c>
      <c r="S22" s="1">
        <v>74</v>
      </c>
      <c r="T22" s="1">
        <v>112</v>
      </c>
      <c r="U22" s="1">
        <v>112</v>
      </c>
      <c r="V22" s="1">
        <v>158</v>
      </c>
      <c r="W22" s="1">
        <v>158</v>
      </c>
      <c r="X22" s="48">
        <f t="shared" si="3"/>
        <v>0.3580736543909348</v>
      </c>
    </row>
    <row r="23" spans="1:24" ht="20.25" customHeight="1">
      <c r="A23" s="64">
        <v>12</v>
      </c>
      <c r="B23" s="63" t="s">
        <v>131</v>
      </c>
      <c r="C23" s="6" t="s">
        <v>394</v>
      </c>
      <c r="D23" s="71">
        <v>2008</v>
      </c>
      <c r="E23" s="1">
        <v>200</v>
      </c>
      <c r="F23" s="1">
        <v>238</v>
      </c>
      <c r="G23" s="1" t="s">
        <v>7</v>
      </c>
      <c r="H23" s="1">
        <v>300</v>
      </c>
      <c r="I23" s="1">
        <v>390</v>
      </c>
      <c r="J23" s="1">
        <v>442</v>
      </c>
      <c r="K23" s="1">
        <v>442</v>
      </c>
      <c r="L23" s="1">
        <v>442</v>
      </c>
      <c r="M23" s="1">
        <v>442</v>
      </c>
      <c r="N23" s="1">
        <v>442</v>
      </c>
      <c r="O23" s="1">
        <v>442</v>
      </c>
      <c r="P23" s="1">
        <v>442</v>
      </c>
      <c r="Q23" s="1">
        <v>448</v>
      </c>
      <c r="R23" s="1">
        <v>448</v>
      </c>
      <c r="S23" s="1">
        <v>448</v>
      </c>
      <c r="T23" s="1">
        <v>448</v>
      </c>
      <c r="U23" s="1">
        <v>448</v>
      </c>
      <c r="V23" s="1">
        <v>448</v>
      </c>
      <c r="W23" s="1">
        <v>448</v>
      </c>
      <c r="X23" s="48">
        <f t="shared" si="3"/>
        <v>1.0152974504249292</v>
      </c>
    </row>
    <row r="24" spans="1:24" s="15" customFormat="1" ht="20.25" customHeight="1">
      <c r="A24" s="64">
        <v>13</v>
      </c>
      <c r="B24" s="63" t="s">
        <v>132</v>
      </c>
      <c r="C24" s="6" t="s">
        <v>395</v>
      </c>
      <c r="D24" s="20">
        <v>2013</v>
      </c>
      <c r="E24" s="20">
        <v>100</v>
      </c>
      <c r="F24" s="20">
        <v>186</v>
      </c>
      <c r="G24" s="20" t="s">
        <v>7</v>
      </c>
      <c r="H24" s="74" t="s">
        <v>7</v>
      </c>
      <c r="I24" s="74" t="s">
        <v>7</v>
      </c>
      <c r="J24" s="74" t="s">
        <v>7</v>
      </c>
      <c r="K24" s="74" t="s">
        <v>7</v>
      </c>
      <c r="L24" s="74" t="s">
        <v>7</v>
      </c>
      <c r="M24" s="1">
        <v>134</v>
      </c>
      <c r="N24" s="1">
        <v>134</v>
      </c>
      <c r="O24" s="1">
        <v>134</v>
      </c>
      <c r="P24" s="1">
        <v>134</v>
      </c>
      <c r="Q24" s="1">
        <v>134</v>
      </c>
      <c r="R24" s="1">
        <v>134</v>
      </c>
      <c r="S24" s="1">
        <v>134</v>
      </c>
      <c r="T24" s="1">
        <v>134</v>
      </c>
      <c r="U24" s="1">
        <v>134</v>
      </c>
      <c r="V24" s="1">
        <v>134</v>
      </c>
      <c r="W24" s="1">
        <v>134</v>
      </c>
      <c r="X24" s="48">
        <f t="shared" si="3"/>
        <v>0.3036827195467422</v>
      </c>
    </row>
    <row r="25" spans="1:24" s="15" customFormat="1" ht="20.25" customHeight="1">
      <c r="A25" s="21"/>
      <c r="B25" s="77" t="s">
        <v>14</v>
      </c>
      <c r="C25" s="76"/>
      <c r="D25" s="14" t="s">
        <v>7</v>
      </c>
      <c r="E25" s="14" t="s">
        <v>7</v>
      </c>
      <c r="F25" s="14" t="s">
        <v>7</v>
      </c>
      <c r="G25" s="22">
        <f t="shared" ref="G25:M25" si="11">SUM(G26)</f>
        <v>470</v>
      </c>
      <c r="H25" s="22">
        <f t="shared" si="11"/>
        <v>470</v>
      </c>
      <c r="I25" s="22">
        <f t="shared" si="11"/>
        <v>470</v>
      </c>
      <c r="J25" s="22">
        <f t="shared" si="11"/>
        <v>470</v>
      </c>
      <c r="K25" s="22">
        <f t="shared" si="11"/>
        <v>470</v>
      </c>
      <c r="L25" s="22">
        <f t="shared" si="11"/>
        <v>470</v>
      </c>
      <c r="M25" s="22">
        <f t="shared" si="11"/>
        <v>470</v>
      </c>
      <c r="N25" s="22">
        <f>SUM(N26:N40)</f>
        <v>656</v>
      </c>
      <c r="O25" s="22">
        <f>SUM(O26:O40)</f>
        <v>680</v>
      </c>
      <c r="P25" s="22">
        <f>SUM(P26:P40)</f>
        <v>810</v>
      </c>
      <c r="Q25" s="22">
        <f>SUM(Q26:Q40)</f>
        <v>1616</v>
      </c>
      <c r="R25" s="22">
        <f>SUM(R26:R40)</f>
        <v>1716</v>
      </c>
      <c r="S25" s="22">
        <f>SUM(S26:S42)</f>
        <v>3324</v>
      </c>
      <c r="T25" s="22">
        <f>SUM(T26:T42)</f>
        <v>3288</v>
      </c>
      <c r="U25" s="22">
        <f>SUM(U26:U42)</f>
        <v>3670</v>
      </c>
      <c r="V25" s="22">
        <f>SUM(V26:V42)</f>
        <v>4146</v>
      </c>
      <c r="W25" s="22">
        <f>SUM(W26:W42)</f>
        <v>4546</v>
      </c>
      <c r="X25" s="90">
        <f t="shared" si="3"/>
        <v>10.302549575070822</v>
      </c>
    </row>
    <row r="26" spans="1:24" s="15" customFormat="1" ht="20.25" customHeight="1">
      <c r="A26" s="64">
        <v>14</v>
      </c>
      <c r="B26" s="63" t="s">
        <v>133</v>
      </c>
      <c r="C26" s="6" t="s">
        <v>396</v>
      </c>
      <c r="D26" s="71">
        <v>2000</v>
      </c>
      <c r="E26" s="74">
        <v>430</v>
      </c>
      <c r="F26" s="1">
        <v>130.30000000000001</v>
      </c>
      <c r="G26" s="5">
        <v>470</v>
      </c>
      <c r="H26" s="5">
        <v>470</v>
      </c>
      <c r="I26" s="5">
        <v>470</v>
      </c>
      <c r="J26" s="5">
        <v>470</v>
      </c>
      <c r="K26" s="5">
        <v>470</v>
      </c>
      <c r="L26" s="5">
        <v>470</v>
      </c>
      <c r="M26" s="5">
        <v>470</v>
      </c>
      <c r="N26" s="5">
        <v>470</v>
      </c>
      <c r="O26" s="5">
        <v>470</v>
      </c>
      <c r="P26" s="5">
        <v>470</v>
      </c>
      <c r="Q26" s="5">
        <v>470</v>
      </c>
      <c r="R26" s="5">
        <v>470</v>
      </c>
      <c r="S26" s="5">
        <v>470</v>
      </c>
      <c r="T26" s="5">
        <v>470</v>
      </c>
      <c r="U26" s="5">
        <v>470</v>
      </c>
      <c r="V26" s="5">
        <v>476</v>
      </c>
      <c r="W26" s="5">
        <v>476</v>
      </c>
      <c r="X26" s="89">
        <f t="shared" si="3"/>
        <v>1.0787535410764872</v>
      </c>
    </row>
    <row r="27" spans="1:24" s="15" customFormat="1" ht="20.25" customHeight="1">
      <c r="A27" s="64">
        <v>15</v>
      </c>
      <c r="B27" s="63" t="s">
        <v>348</v>
      </c>
      <c r="C27" s="6" t="s">
        <v>397</v>
      </c>
      <c r="D27" s="71">
        <v>2022</v>
      </c>
      <c r="E27" s="74">
        <v>160</v>
      </c>
      <c r="F27" s="74">
        <v>4.7</v>
      </c>
      <c r="G27" s="74" t="s">
        <v>7</v>
      </c>
      <c r="H27" s="74" t="s">
        <v>7</v>
      </c>
      <c r="I27" s="74" t="s">
        <v>7</v>
      </c>
      <c r="J27" s="74" t="s">
        <v>7</v>
      </c>
      <c r="K27" s="74" t="s">
        <v>7</v>
      </c>
      <c r="L27" s="74" t="s">
        <v>7</v>
      </c>
      <c r="M27" s="74" t="s">
        <v>7</v>
      </c>
      <c r="N27" s="74" t="s">
        <v>7</v>
      </c>
      <c r="O27" s="74" t="s">
        <v>7</v>
      </c>
      <c r="P27" s="74" t="s">
        <v>7</v>
      </c>
      <c r="Q27" s="74" t="s">
        <v>7</v>
      </c>
      <c r="R27" s="74" t="s">
        <v>7</v>
      </c>
      <c r="S27" s="74" t="s">
        <v>7</v>
      </c>
      <c r="T27" s="74" t="s">
        <v>7</v>
      </c>
      <c r="U27" s="74" t="s">
        <v>7</v>
      </c>
      <c r="V27" s="5">
        <v>160</v>
      </c>
      <c r="W27" s="5">
        <v>160</v>
      </c>
      <c r="X27" s="89">
        <f t="shared" si="3"/>
        <v>0.36260623229461758</v>
      </c>
    </row>
    <row r="28" spans="1:24" s="15" customFormat="1" ht="20.25" customHeight="1">
      <c r="A28" s="64">
        <v>16</v>
      </c>
      <c r="B28" s="63" t="s">
        <v>371</v>
      </c>
      <c r="C28" s="6" t="s">
        <v>398</v>
      </c>
      <c r="D28" s="71">
        <v>2023</v>
      </c>
      <c r="E28" s="74">
        <v>400</v>
      </c>
      <c r="F28" s="74">
        <v>164</v>
      </c>
      <c r="G28" s="74" t="s">
        <v>7</v>
      </c>
      <c r="H28" s="74" t="s">
        <v>7</v>
      </c>
      <c r="I28" s="74" t="s">
        <v>7</v>
      </c>
      <c r="J28" s="74" t="s">
        <v>7</v>
      </c>
      <c r="K28" s="74" t="s">
        <v>7</v>
      </c>
      <c r="L28" s="74" t="s">
        <v>7</v>
      </c>
      <c r="M28" s="74" t="s">
        <v>7</v>
      </c>
      <c r="N28" s="74" t="s">
        <v>7</v>
      </c>
      <c r="O28" s="74" t="s">
        <v>7</v>
      </c>
      <c r="P28" s="74" t="s">
        <v>7</v>
      </c>
      <c r="Q28" s="74" t="s">
        <v>7</v>
      </c>
      <c r="R28" s="74" t="s">
        <v>7</v>
      </c>
      <c r="S28" s="74" t="s">
        <v>7</v>
      </c>
      <c r="T28" s="74" t="s">
        <v>7</v>
      </c>
      <c r="U28" s="74" t="s">
        <v>7</v>
      </c>
      <c r="V28" s="74" t="s">
        <v>7</v>
      </c>
      <c r="W28" s="5">
        <v>400</v>
      </c>
      <c r="X28" s="89">
        <f t="shared" si="3"/>
        <v>0.90651558073654381</v>
      </c>
    </row>
    <row r="29" spans="1:24" s="15" customFormat="1" ht="20.25" customHeight="1">
      <c r="A29" s="64">
        <v>17</v>
      </c>
      <c r="B29" s="63" t="s">
        <v>319</v>
      </c>
      <c r="C29" s="6" t="s">
        <v>399</v>
      </c>
      <c r="D29" s="71">
        <v>2020</v>
      </c>
      <c r="E29" s="74">
        <v>158</v>
      </c>
      <c r="F29" s="74">
        <v>156</v>
      </c>
      <c r="G29" s="74" t="s">
        <v>7</v>
      </c>
      <c r="H29" s="74" t="s">
        <v>7</v>
      </c>
      <c r="I29" s="74" t="s">
        <v>7</v>
      </c>
      <c r="J29" s="74" t="s">
        <v>7</v>
      </c>
      <c r="K29" s="74" t="s">
        <v>7</v>
      </c>
      <c r="L29" s="74" t="s">
        <v>7</v>
      </c>
      <c r="M29" s="74" t="s">
        <v>7</v>
      </c>
      <c r="N29" s="74" t="s">
        <v>7</v>
      </c>
      <c r="O29" s="74" t="s">
        <v>7</v>
      </c>
      <c r="P29" s="74" t="s">
        <v>7</v>
      </c>
      <c r="Q29" s="74" t="s">
        <v>7</v>
      </c>
      <c r="R29" s="74" t="s">
        <v>7</v>
      </c>
      <c r="S29" s="74" t="s">
        <v>7</v>
      </c>
      <c r="T29" s="5">
        <v>158</v>
      </c>
      <c r="U29" s="5">
        <v>158</v>
      </c>
      <c r="V29" s="5">
        <v>290</v>
      </c>
      <c r="W29" s="5">
        <v>290</v>
      </c>
      <c r="X29" s="89">
        <f t="shared" si="3"/>
        <v>0.65722379603399439</v>
      </c>
    </row>
    <row r="30" spans="1:24" s="15" customFormat="1" ht="20.25" customHeight="1">
      <c r="A30" s="64">
        <v>18</v>
      </c>
      <c r="B30" s="63" t="s">
        <v>41</v>
      </c>
      <c r="C30" s="6" t="s">
        <v>400</v>
      </c>
      <c r="D30" s="71">
        <v>2017</v>
      </c>
      <c r="E30" s="74">
        <v>358</v>
      </c>
      <c r="F30" s="1">
        <v>156</v>
      </c>
      <c r="G30" s="5" t="s">
        <v>7</v>
      </c>
      <c r="H30" s="5" t="s">
        <v>7</v>
      </c>
      <c r="I30" s="5" t="s">
        <v>7</v>
      </c>
      <c r="J30" s="5" t="s">
        <v>7</v>
      </c>
      <c r="K30" s="5" t="s">
        <v>7</v>
      </c>
      <c r="L30" s="5" t="s">
        <v>7</v>
      </c>
      <c r="M30" s="5" t="s">
        <v>7</v>
      </c>
      <c r="N30" s="5" t="s">
        <v>7</v>
      </c>
      <c r="O30" s="5" t="s">
        <v>7</v>
      </c>
      <c r="P30" s="5" t="s">
        <v>7</v>
      </c>
      <c r="Q30" s="5">
        <v>358</v>
      </c>
      <c r="R30" s="5">
        <v>358</v>
      </c>
      <c r="S30" s="5">
        <v>358</v>
      </c>
      <c r="T30" s="5">
        <v>362</v>
      </c>
      <c r="U30" s="5">
        <v>362</v>
      </c>
      <c r="V30" s="5">
        <v>362</v>
      </c>
      <c r="W30" s="5">
        <v>362</v>
      </c>
      <c r="X30" s="89">
        <f t="shared" si="3"/>
        <v>0.82039660056657226</v>
      </c>
    </row>
    <row r="31" spans="1:24" s="15" customFormat="1" ht="20.25" customHeight="1">
      <c r="A31" s="64">
        <v>19</v>
      </c>
      <c r="B31" s="63" t="s">
        <v>115</v>
      </c>
      <c r="C31" s="6" t="s">
        <v>401</v>
      </c>
      <c r="D31" s="71">
        <v>2019</v>
      </c>
      <c r="E31" s="74">
        <v>266</v>
      </c>
      <c r="F31" s="1">
        <v>162</v>
      </c>
      <c r="G31" s="1" t="s">
        <v>7</v>
      </c>
      <c r="H31" s="1" t="s">
        <v>7</v>
      </c>
      <c r="I31" s="1" t="s">
        <v>7</v>
      </c>
      <c r="J31" s="1" t="s">
        <v>7</v>
      </c>
      <c r="K31" s="1" t="s">
        <v>7</v>
      </c>
      <c r="L31" s="1" t="s">
        <v>7</v>
      </c>
      <c r="M31" s="1" t="s">
        <v>7</v>
      </c>
      <c r="N31" s="1" t="s">
        <v>7</v>
      </c>
      <c r="O31" s="1" t="s">
        <v>7</v>
      </c>
      <c r="P31" s="1" t="s">
        <v>7</v>
      </c>
      <c r="Q31" s="1" t="s">
        <v>7</v>
      </c>
      <c r="R31" s="1" t="s">
        <v>7</v>
      </c>
      <c r="S31" s="5">
        <v>266</v>
      </c>
      <c r="T31" s="5">
        <v>266</v>
      </c>
      <c r="U31" s="5">
        <v>266</v>
      </c>
      <c r="V31" s="5">
        <v>286</v>
      </c>
      <c r="W31" s="5">
        <v>286</v>
      </c>
      <c r="X31" s="89">
        <f t="shared" si="3"/>
        <v>0.64815864022662895</v>
      </c>
    </row>
    <row r="32" spans="1:24" s="15" customFormat="1" ht="20.25" customHeight="1">
      <c r="A32" s="64">
        <v>20</v>
      </c>
      <c r="B32" s="63" t="s">
        <v>349</v>
      </c>
      <c r="C32" s="6" t="s">
        <v>402</v>
      </c>
      <c r="D32" s="71">
        <v>2019</v>
      </c>
      <c r="E32" s="74">
        <v>160</v>
      </c>
      <c r="F32" s="1">
        <v>186</v>
      </c>
      <c r="G32" s="1" t="s">
        <v>7</v>
      </c>
      <c r="H32" s="1" t="s">
        <v>7</v>
      </c>
      <c r="I32" s="1" t="s">
        <v>7</v>
      </c>
      <c r="J32" s="1" t="s">
        <v>7</v>
      </c>
      <c r="K32" s="1" t="s">
        <v>7</v>
      </c>
      <c r="L32" s="1" t="s">
        <v>7</v>
      </c>
      <c r="M32" s="1" t="s">
        <v>7</v>
      </c>
      <c r="N32" s="1" t="s">
        <v>7</v>
      </c>
      <c r="O32" s="1" t="s">
        <v>7</v>
      </c>
      <c r="P32" s="1" t="s">
        <v>7</v>
      </c>
      <c r="Q32" s="1" t="s">
        <v>7</v>
      </c>
      <c r="R32" s="1" t="s">
        <v>7</v>
      </c>
      <c r="S32" s="5">
        <v>160</v>
      </c>
      <c r="T32" s="5">
        <v>160</v>
      </c>
      <c r="U32" s="5">
        <v>160</v>
      </c>
      <c r="V32" s="5">
        <v>176</v>
      </c>
      <c r="W32" s="5">
        <v>176</v>
      </c>
      <c r="X32" s="89">
        <f t="shared" si="3"/>
        <v>0.39886685552407936</v>
      </c>
    </row>
    <row r="33" spans="1:24" s="15" customFormat="1" ht="20.25" customHeight="1">
      <c r="A33" s="64">
        <v>21</v>
      </c>
      <c r="B33" s="63" t="s">
        <v>42</v>
      </c>
      <c r="C33" s="6" t="s">
        <v>403</v>
      </c>
      <c r="D33" s="71">
        <v>2016</v>
      </c>
      <c r="E33" s="74">
        <v>130</v>
      </c>
      <c r="F33" s="1">
        <v>155</v>
      </c>
      <c r="G33" s="5" t="s">
        <v>7</v>
      </c>
      <c r="H33" s="5" t="s">
        <v>7</v>
      </c>
      <c r="I33" s="5" t="s">
        <v>7</v>
      </c>
      <c r="J33" s="5" t="s">
        <v>7</v>
      </c>
      <c r="K33" s="5" t="s">
        <v>7</v>
      </c>
      <c r="L33" s="5" t="s">
        <v>7</v>
      </c>
      <c r="M33" s="5" t="s">
        <v>7</v>
      </c>
      <c r="N33" s="5" t="s">
        <v>7</v>
      </c>
      <c r="O33" s="5" t="s">
        <v>7</v>
      </c>
      <c r="P33" s="5">
        <v>130</v>
      </c>
      <c r="Q33" s="5">
        <v>202</v>
      </c>
      <c r="R33" s="5">
        <v>202</v>
      </c>
      <c r="S33" s="5">
        <v>202</v>
      </c>
      <c r="T33" s="5">
        <v>214</v>
      </c>
      <c r="U33" s="5">
        <v>340</v>
      </c>
      <c r="V33" s="5">
        <v>340</v>
      </c>
      <c r="W33" s="5">
        <v>340</v>
      </c>
      <c r="X33" s="89">
        <f t="shared" si="3"/>
        <v>0.77053824362606238</v>
      </c>
    </row>
    <row r="34" spans="1:24" s="15" customFormat="1" ht="20.25" customHeight="1">
      <c r="A34" s="64">
        <v>22</v>
      </c>
      <c r="B34" s="63" t="s">
        <v>134</v>
      </c>
      <c r="C34" s="6" t="s">
        <v>404</v>
      </c>
      <c r="D34" s="71">
        <v>2019</v>
      </c>
      <c r="E34" s="74">
        <v>300</v>
      </c>
      <c r="F34" s="1">
        <v>154</v>
      </c>
      <c r="G34" s="1" t="s">
        <v>7</v>
      </c>
      <c r="H34" s="1" t="s">
        <v>7</v>
      </c>
      <c r="I34" s="1" t="s">
        <v>7</v>
      </c>
      <c r="J34" s="1" t="s">
        <v>7</v>
      </c>
      <c r="K34" s="1" t="s">
        <v>7</v>
      </c>
      <c r="L34" s="1" t="s">
        <v>7</v>
      </c>
      <c r="M34" s="1" t="s">
        <v>7</v>
      </c>
      <c r="N34" s="1" t="s">
        <v>7</v>
      </c>
      <c r="O34" s="1" t="s">
        <v>7</v>
      </c>
      <c r="P34" s="1" t="s">
        <v>7</v>
      </c>
      <c r="Q34" s="1" t="s">
        <v>7</v>
      </c>
      <c r="R34" s="1" t="s">
        <v>7</v>
      </c>
      <c r="S34" s="5">
        <v>300</v>
      </c>
      <c r="T34" s="5">
        <v>300</v>
      </c>
      <c r="U34" s="5">
        <v>300</v>
      </c>
      <c r="V34" s="5">
        <v>316</v>
      </c>
      <c r="W34" s="5">
        <v>316</v>
      </c>
      <c r="X34" s="89">
        <f t="shared" si="3"/>
        <v>0.71614730878186961</v>
      </c>
    </row>
    <row r="35" spans="1:24" s="15" customFormat="1" ht="20.25" customHeight="1">
      <c r="A35" s="64">
        <v>23</v>
      </c>
      <c r="B35" s="63" t="s">
        <v>116</v>
      </c>
      <c r="C35" s="6" t="s">
        <v>405</v>
      </c>
      <c r="D35" s="71">
        <v>2019</v>
      </c>
      <c r="E35" s="74">
        <v>194</v>
      </c>
      <c r="F35" s="1">
        <v>146.6</v>
      </c>
      <c r="G35" s="1" t="s">
        <v>7</v>
      </c>
      <c r="H35" s="1" t="s">
        <v>7</v>
      </c>
      <c r="I35" s="1" t="s">
        <v>7</v>
      </c>
      <c r="J35" s="1" t="s">
        <v>7</v>
      </c>
      <c r="K35" s="1" t="s">
        <v>7</v>
      </c>
      <c r="L35" s="1" t="s">
        <v>7</v>
      </c>
      <c r="M35" s="1" t="s">
        <v>7</v>
      </c>
      <c r="N35" s="1" t="s">
        <v>7</v>
      </c>
      <c r="O35" s="1" t="s">
        <v>7</v>
      </c>
      <c r="P35" s="1" t="s">
        <v>7</v>
      </c>
      <c r="Q35" s="1" t="s">
        <v>7</v>
      </c>
      <c r="R35" s="1" t="s">
        <v>7</v>
      </c>
      <c r="S35" s="5">
        <v>194</v>
      </c>
      <c r="T35" s="5">
        <v>194</v>
      </c>
      <c r="U35" s="5">
        <v>194</v>
      </c>
      <c r="V35" s="5">
        <v>194</v>
      </c>
      <c r="W35" s="5">
        <v>194</v>
      </c>
      <c r="X35" s="89">
        <f t="shared" si="3"/>
        <v>0.43966005665722374</v>
      </c>
    </row>
    <row r="36" spans="1:24" s="15" customFormat="1" ht="20.25" customHeight="1">
      <c r="A36" s="64">
        <v>24</v>
      </c>
      <c r="B36" s="63" t="s">
        <v>333</v>
      </c>
      <c r="C36" s="6" t="s">
        <v>406</v>
      </c>
      <c r="D36" s="71">
        <v>2021</v>
      </c>
      <c r="E36" s="74">
        <v>88</v>
      </c>
      <c r="F36" s="1">
        <v>171</v>
      </c>
      <c r="G36" s="1" t="s">
        <v>7</v>
      </c>
      <c r="H36" s="1" t="s">
        <v>7</v>
      </c>
      <c r="I36" s="1" t="s">
        <v>7</v>
      </c>
      <c r="J36" s="1" t="s">
        <v>7</v>
      </c>
      <c r="K36" s="1" t="s">
        <v>7</v>
      </c>
      <c r="L36" s="1" t="s">
        <v>7</v>
      </c>
      <c r="M36" s="1" t="s">
        <v>7</v>
      </c>
      <c r="N36" s="1" t="s">
        <v>7</v>
      </c>
      <c r="O36" s="1" t="s">
        <v>7</v>
      </c>
      <c r="P36" s="1" t="s">
        <v>7</v>
      </c>
      <c r="Q36" s="1" t="s">
        <v>7</v>
      </c>
      <c r="R36" s="1" t="s">
        <v>7</v>
      </c>
      <c r="S36" s="1" t="s">
        <v>7</v>
      </c>
      <c r="T36" s="1" t="s">
        <v>7</v>
      </c>
      <c r="U36" s="5">
        <v>88</v>
      </c>
      <c r="V36" s="5">
        <v>170</v>
      </c>
      <c r="W36" s="5">
        <v>170</v>
      </c>
      <c r="X36" s="89">
        <f t="shared" si="3"/>
        <v>0.38526912181303119</v>
      </c>
    </row>
    <row r="37" spans="1:24" s="15" customFormat="1" ht="20.25" customHeight="1">
      <c r="A37" s="64">
        <v>25</v>
      </c>
      <c r="B37" s="63" t="s">
        <v>43</v>
      </c>
      <c r="C37" s="6" t="s">
        <v>407</v>
      </c>
      <c r="D37" s="62" t="s">
        <v>5</v>
      </c>
      <c r="E37" s="74">
        <v>100</v>
      </c>
      <c r="F37" s="1">
        <v>171</v>
      </c>
      <c r="G37" s="1" t="s">
        <v>7</v>
      </c>
      <c r="H37" s="1" t="s">
        <v>7</v>
      </c>
      <c r="I37" s="1" t="s">
        <v>7</v>
      </c>
      <c r="J37" s="1" t="s">
        <v>7</v>
      </c>
      <c r="K37" s="1" t="s">
        <v>7</v>
      </c>
      <c r="L37" s="1" t="s">
        <v>7</v>
      </c>
      <c r="M37" s="1" t="s">
        <v>7</v>
      </c>
      <c r="N37" s="1" t="s">
        <v>7</v>
      </c>
      <c r="O37" s="51" t="s">
        <v>7</v>
      </c>
      <c r="P37" s="51" t="s">
        <v>7</v>
      </c>
      <c r="Q37" s="51" t="s">
        <v>7</v>
      </c>
      <c r="R37" s="5">
        <v>100</v>
      </c>
      <c r="S37" s="5">
        <v>160</v>
      </c>
      <c r="T37" s="5">
        <v>160</v>
      </c>
      <c r="U37" s="5">
        <v>160</v>
      </c>
      <c r="V37" s="5">
        <v>160</v>
      </c>
      <c r="W37" s="5">
        <v>160</v>
      </c>
      <c r="X37" s="89">
        <f t="shared" si="3"/>
        <v>0.36260623229461758</v>
      </c>
    </row>
    <row r="38" spans="1:24" s="15" customFormat="1" ht="20.25" customHeight="1">
      <c r="A38" s="64">
        <v>26</v>
      </c>
      <c r="B38" s="63" t="s">
        <v>135</v>
      </c>
      <c r="C38" s="6" t="s">
        <v>408</v>
      </c>
      <c r="D38" s="71">
        <v>2017</v>
      </c>
      <c r="E38" s="1">
        <v>214</v>
      </c>
      <c r="F38" s="1">
        <v>159</v>
      </c>
      <c r="G38" s="1" t="s">
        <v>7</v>
      </c>
      <c r="H38" s="1" t="s">
        <v>7</v>
      </c>
      <c r="I38" s="1" t="s">
        <v>7</v>
      </c>
      <c r="J38" s="1" t="s">
        <v>7</v>
      </c>
      <c r="K38" s="1" t="s">
        <v>7</v>
      </c>
      <c r="L38" s="1" t="s">
        <v>7</v>
      </c>
      <c r="M38" s="1" t="s">
        <v>7</v>
      </c>
      <c r="N38" s="1" t="s">
        <v>7</v>
      </c>
      <c r="O38" s="1" t="s">
        <v>7</v>
      </c>
      <c r="P38" s="51" t="s">
        <v>7</v>
      </c>
      <c r="Q38" s="5">
        <v>214</v>
      </c>
      <c r="R38" s="5">
        <v>214</v>
      </c>
      <c r="S38" s="5">
        <v>214</v>
      </c>
      <c r="T38" s="5">
        <v>214</v>
      </c>
      <c r="U38" s="5">
        <v>214</v>
      </c>
      <c r="V38" s="5">
        <v>214</v>
      </c>
      <c r="W38" s="5">
        <v>214</v>
      </c>
      <c r="X38" s="89">
        <f t="shared" si="3"/>
        <v>0.48498583569405096</v>
      </c>
    </row>
    <row r="39" spans="1:24" s="15" customFormat="1" ht="20.25" customHeight="1">
      <c r="A39" s="64">
        <v>27</v>
      </c>
      <c r="B39" s="63" t="s">
        <v>350</v>
      </c>
      <c r="C39" s="6" t="s">
        <v>409</v>
      </c>
      <c r="D39" s="71">
        <v>2014</v>
      </c>
      <c r="E39" s="1">
        <v>40</v>
      </c>
      <c r="F39" s="1">
        <v>177</v>
      </c>
      <c r="G39" s="1" t="s">
        <v>7</v>
      </c>
      <c r="H39" s="1" t="s">
        <v>7</v>
      </c>
      <c r="I39" s="1" t="s">
        <v>7</v>
      </c>
      <c r="J39" s="1" t="s">
        <v>7</v>
      </c>
      <c r="K39" s="1" t="s">
        <v>7</v>
      </c>
      <c r="L39" s="1" t="s">
        <v>7</v>
      </c>
      <c r="M39" s="1" t="s">
        <v>7</v>
      </c>
      <c r="N39" s="1">
        <v>186</v>
      </c>
      <c r="O39" s="1">
        <v>210</v>
      </c>
      <c r="P39" s="1">
        <v>210</v>
      </c>
      <c r="Q39" s="1">
        <v>210</v>
      </c>
      <c r="R39" s="1">
        <v>210</v>
      </c>
      <c r="S39" s="1">
        <v>210</v>
      </c>
      <c r="T39" s="1">
        <v>0</v>
      </c>
      <c r="U39" s="1">
        <v>168</v>
      </c>
      <c r="V39" s="1">
        <v>212</v>
      </c>
      <c r="W39" s="1">
        <v>212</v>
      </c>
      <c r="X39" s="48">
        <f t="shared" si="3"/>
        <v>0.48045325779036824</v>
      </c>
    </row>
    <row r="40" spans="1:24" s="15" customFormat="1" ht="20.25" customHeight="1">
      <c r="A40" s="64">
        <v>28</v>
      </c>
      <c r="B40" s="63" t="s">
        <v>136</v>
      </c>
      <c r="C40" s="6" t="s">
        <v>410</v>
      </c>
      <c r="D40" s="71">
        <v>2017</v>
      </c>
      <c r="E40" s="1">
        <v>162</v>
      </c>
      <c r="F40" s="1">
        <v>159</v>
      </c>
      <c r="G40" s="1" t="s">
        <v>7</v>
      </c>
      <c r="H40" s="1" t="s">
        <v>7</v>
      </c>
      <c r="I40" s="1" t="s">
        <v>7</v>
      </c>
      <c r="J40" s="1" t="s">
        <v>7</v>
      </c>
      <c r="K40" s="1" t="s">
        <v>7</v>
      </c>
      <c r="L40" s="1" t="s">
        <v>7</v>
      </c>
      <c r="M40" s="1" t="s">
        <v>7</v>
      </c>
      <c r="N40" s="1" t="s">
        <v>7</v>
      </c>
      <c r="O40" s="1" t="s">
        <v>7</v>
      </c>
      <c r="P40" s="51" t="s">
        <v>7</v>
      </c>
      <c r="Q40" s="5">
        <v>162</v>
      </c>
      <c r="R40" s="5">
        <v>162</v>
      </c>
      <c r="S40" s="5">
        <v>328</v>
      </c>
      <c r="T40" s="5">
        <v>328</v>
      </c>
      <c r="U40" s="5">
        <v>328</v>
      </c>
      <c r="V40" s="5">
        <v>328</v>
      </c>
      <c r="W40" s="5">
        <v>328</v>
      </c>
      <c r="X40" s="89">
        <f t="shared" si="3"/>
        <v>0.74334277620396594</v>
      </c>
    </row>
    <row r="41" spans="1:24" s="15" customFormat="1" ht="20.25" customHeight="1">
      <c r="A41" s="64">
        <v>29</v>
      </c>
      <c r="B41" s="63" t="s">
        <v>351</v>
      </c>
      <c r="C41" s="6" t="s">
        <v>411</v>
      </c>
      <c r="D41" s="62" t="s">
        <v>5</v>
      </c>
      <c r="E41" s="74">
        <v>244</v>
      </c>
      <c r="F41" s="1">
        <v>147</v>
      </c>
      <c r="G41" s="1" t="s">
        <v>7</v>
      </c>
      <c r="H41" s="1" t="s">
        <v>7</v>
      </c>
      <c r="I41" s="1" t="s">
        <v>7</v>
      </c>
      <c r="J41" s="1" t="s">
        <v>7</v>
      </c>
      <c r="K41" s="1" t="s">
        <v>7</v>
      </c>
      <c r="L41" s="1" t="s">
        <v>7</v>
      </c>
      <c r="M41" s="1" t="s">
        <v>7</v>
      </c>
      <c r="N41" s="51" t="s">
        <v>7</v>
      </c>
      <c r="O41" s="51" t="s">
        <v>7</v>
      </c>
      <c r="P41" s="51" t="s">
        <v>7</v>
      </c>
      <c r="Q41" s="51" t="s">
        <v>7</v>
      </c>
      <c r="R41" s="5">
        <v>244</v>
      </c>
      <c r="S41" s="5">
        <v>244</v>
      </c>
      <c r="T41" s="5">
        <v>244</v>
      </c>
      <c r="U41" s="5">
        <v>244</v>
      </c>
      <c r="V41" s="5">
        <v>244</v>
      </c>
      <c r="W41" s="5">
        <v>244</v>
      </c>
      <c r="X41" s="89">
        <f t="shared" si="3"/>
        <v>0.55297450424929184</v>
      </c>
    </row>
    <row r="42" spans="1:24" s="15" customFormat="1" ht="20.25" customHeight="1">
      <c r="A42" s="64">
        <v>30</v>
      </c>
      <c r="B42" s="63" t="s">
        <v>137</v>
      </c>
      <c r="C42" s="6" t="s">
        <v>412</v>
      </c>
      <c r="D42" s="20">
        <v>2019</v>
      </c>
      <c r="E42" s="20">
        <v>218</v>
      </c>
      <c r="F42" s="20">
        <v>181</v>
      </c>
      <c r="G42" s="1" t="s">
        <v>7</v>
      </c>
      <c r="H42" s="1" t="s">
        <v>7</v>
      </c>
      <c r="I42" s="1" t="s">
        <v>7</v>
      </c>
      <c r="J42" s="1" t="s">
        <v>7</v>
      </c>
      <c r="K42" s="1" t="s">
        <v>7</v>
      </c>
      <c r="L42" s="1" t="s">
        <v>7</v>
      </c>
      <c r="M42" s="1" t="s">
        <v>7</v>
      </c>
      <c r="N42" s="20" t="s">
        <v>7</v>
      </c>
      <c r="O42" s="20" t="s">
        <v>7</v>
      </c>
      <c r="P42" s="20" t="s">
        <v>7</v>
      </c>
      <c r="Q42" s="20" t="s">
        <v>7</v>
      </c>
      <c r="R42" s="20" t="s">
        <v>7</v>
      </c>
      <c r="S42" s="34">
        <v>218</v>
      </c>
      <c r="T42" s="34">
        <v>218</v>
      </c>
      <c r="U42" s="34">
        <v>218</v>
      </c>
      <c r="V42" s="34">
        <v>218</v>
      </c>
      <c r="W42" s="34">
        <v>218</v>
      </c>
      <c r="X42" s="91">
        <f t="shared" si="3"/>
        <v>0.4940509915014164</v>
      </c>
    </row>
    <row r="43" spans="1:24" s="15" customFormat="1" ht="20.25" customHeight="1">
      <c r="A43" s="21"/>
      <c r="B43" s="77" t="s">
        <v>15</v>
      </c>
      <c r="C43" s="76"/>
      <c r="D43" s="14" t="s">
        <v>7</v>
      </c>
      <c r="E43" s="14" t="s">
        <v>7</v>
      </c>
      <c r="F43" s="14" t="s">
        <v>7</v>
      </c>
      <c r="G43" s="22">
        <f t="shared" ref="G43:U43" si="12">SUM(G44:G60)</f>
        <v>1240</v>
      </c>
      <c r="H43" s="22">
        <f t="shared" si="12"/>
        <v>1240</v>
      </c>
      <c r="I43" s="22">
        <f t="shared" si="12"/>
        <v>1240</v>
      </c>
      <c r="J43" s="22">
        <f t="shared" si="12"/>
        <v>1398</v>
      </c>
      <c r="K43" s="22">
        <f t="shared" si="12"/>
        <v>1398</v>
      </c>
      <c r="L43" s="22">
        <f t="shared" si="12"/>
        <v>1660</v>
      </c>
      <c r="M43" s="22">
        <f t="shared" si="12"/>
        <v>1704</v>
      </c>
      <c r="N43" s="22">
        <f t="shared" si="12"/>
        <v>1704</v>
      </c>
      <c r="O43" s="22">
        <f t="shared" si="12"/>
        <v>1700</v>
      </c>
      <c r="P43" s="22">
        <f t="shared" si="12"/>
        <v>2204</v>
      </c>
      <c r="Q43" s="22">
        <f t="shared" si="12"/>
        <v>2562</v>
      </c>
      <c r="R43" s="22">
        <f t="shared" si="12"/>
        <v>2882</v>
      </c>
      <c r="S43" s="22">
        <f t="shared" si="12"/>
        <v>2918</v>
      </c>
      <c r="T43" s="22">
        <f t="shared" si="12"/>
        <v>3104</v>
      </c>
      <c r="U43" s="22">
        <f t="shared" si="12"/>
        <v>3120</v>
      </c>
      <c r="V43" s="22">
        <f t="shared" ref="V43:W43" si="13">SUM(V44:V60)</f>
        <v>3128</v>
      </c>
      <c r="W43" s="22">
        <f t="shared" si="13"/>
        <v>3362</v>
      </c>
      <c r="X43" s="90">
        <f t="shared" si="3"/>
        <v>7.6192634560906507</v>
      </c>
    </row>
    <row r="44" spans="1:24" s="15" customFormat="1" ht="20.25" customHeight="1">
      <c r="A44" s="64">
        <v>31</v>
      </c>
      <c r="B44" s="63" t="s">
        <v>138</v>
      </c>
      <c r="C44" s="6" t="s">
        <v>413</v>
      </c>
      <c r="D44" s="71">
        <v>2010</v>
      </c>
      <c r="E44" s="74">
        <v>110</v>
      </c>
      <c r="F44" s="1">
        <v>125</v>
      </c>
      <c r="G44" s="1" t="s">
        <v>7</v>
      </c>
      <c r="H44" s="1" t="s">
        <v>7</v>
      </c>
      <c r="I44" s="1" t="s">
        <v>7</v>
      </c>
      <c r="J44" s="1">
        <v>110</v>
      </c>
      <c r="K44" s="1">
        <v>110</v>
      </c>
      <c r="L44" s="1">
        <v>164</v>
      </c>
      <c r="M44" s="1">
        <v>172</v>
      </c>
      <c r="N44" s="1">
        <v>172</v>
      </c>
      <c r="O44" s="1">
        <v>172</v>
      </c>
      <c r="P44" s="1">
        <v>172</v>
      </c>
      <c r="Q44" s="1">
        <v>172</v>
      </c>
      <c r="R44" s="1">
        <v>178</v>
      </c>
      <c r="S44" s="1">
        <v>178</v>
      </c>
      <c r="T44" s="1">
        <v>178</v>
      </c>
      <c r="U44" s="1">
        <v>178</v>
      </c>
      <c r="V44" s="1">
        <v>178</v>
      </c>
      <c r="W44" s="1">
        <v>178</v>
      </c>
      <c r="X44" s="48">
        <f t="shared" si="3"/>
        <v>0.40339943342776202</v>
      </c>
    </row>
    <row r="45" spans="1:24" s="15" customFormat="1" ht="20.25" customHeight="1">
      <c r="A45" s="64">
        <v>32</v>
      </c>
      <c r="B45" s="63" t="s">
        <v>372</v>
      </c>
      <c r="C45" s="6" t="s">
        <v>414</v>
      </c>
      <c r="D45" s="71">
        <v>2023</v>
      </c>
      <c r="E45" s="74">
        <v>136</v>
      </c>
      <c r="F45" s="1">
        <v>222</v>
      </c>
      <c r="G45" s="1" t="s">
        <v>7</v>
      </c>
      <c r="H45" s="1" t="s">
        <v>7</v>
      </c>
      <c r="I45" s="1" t="s">
        <v>7</v>
      </c>
      <c r="J45" s="1" t="s">
        <v>7</v>
      </c>
      <c r="K45" s="1" t="s">
        <v>7</v>
      </c>
      <c r="L45" s="1" t="s">
        <v>7</v>
      </c>
      <c r="M45" s="1" t="s">
        <v>7</v>
      </c>
      <c r="N45" s="1" t="s">
        <v>7</v>
      </c>
      <c r="O45" s="1" t="s">
        <v>7</v>
      </c>
      <c r="P45" s="1" t="s">
        <v>7</v>
      </c>
      <c r="Q45" s="1" t="s">
        <v>7</v>
      </c>
      <c r="R45" s="1" t="s">
        <v>7</v>
      </c>
      <c r="S45" s="1" t="s">
        <v>7</v>
      </c>
      <c r="T45" s="1" t="s">
        <v>7</v>
      </c>
      <c r="U45" s="1" t="s">
        <v>7</v>
      </c>
      <c r="V45" s="1" t="s">
        <v>7</v>
      </c>
      <c r="W45" s="1">
        <v>222</v>
      </c>
      <c r="X45" s="48">
        <f t="shared" si="3"/>
        <v>0.50311614730878196</v>
      </c>
    </row>
    <row r="46" spans="1:24" s="15" customFormat="1" ht="20.25" customHeight="1">
      <c r="A46" s="64">
        <v>33</v>
      </c>
      <c r="B46" s="63" t="s">
        <v>139</v>
      </c>
      <c r="C46" s="6" t="s">
        <v>415</v>
      </c>
      <c r="D46" s="23">
        <v>1998</v>
      </c>
      <c r="E46" s="74">
        <v>192</v>
      </c>
      <c r="F46" s="1">
        <v>124</v>
      </c>
      <c r="G46" s="5">
        <v>200</v>
      </c>
      <c r="H46" s="5">
        <v>200</v>
      </c>
      <c r="I46" s="5">
        <v>200</v>
      </c>
      <c r="J46" s="5">
        <v>200</v>
      </c>
      <c r="K46" s="5">
        <v>200</v>
      </c>
      <c r="L46" s="5">
        <v>200</v>
      </c>
      <c r="M46" s="5">
        <v>200</v>
      </c>
      <c r="N46" s="5">
        <v>200</v>
      </c>
      <c r="O46" s="5">
        <v>196</v>
      </c>
      <c r="P46" s="5">
        <v>196</v>
      </c>
      <c r="Q46" s="5">
        <v>196</v>
      </c>
      <c r="R46" s="5">
        <v>196</v>
      </c>
      <c r="S46" s="5">
        <v>196</v>
      </c>
      <c r="T46" s="5">
        <v>196</v>
      </c>
      <c r="U46" s="5">
        <v>196</v>
      </c>
      <c r="V46" s="5">
        <v>196</v>
      </c>
      <c r="W46" s="5">
        <v>196</v>
      </c>
      <c r="X46" s="89">
        <f t="shared" si="3"/>
        <v>0.44419263456090652</v>
      </c>
    </row>
    <row r="47" spans="1:24" s="15" customFormat="1" ht="20.25" customHeight="1">
      <c r="A47" s="64">
        <v>34</v>
      </c>
      <c r="B47" s="63" t="s">
        <v>140</v>
      </c>
      <c r="C47" s="6" t="s">
        <v>416</v>
      </c>
      <c r="D47" s="23" t="s">
        <v>3</v>
      </c>
      <c r="E47" s="74">
        <v>80</v>
      </c>
      <c r="F47" s="1">
        <v>121</v>
      </c>
      <c r="G47" s="5" t="s">
        <v>7</v>
      </c>
      <c r="H47" s="5" t="s">
        <v>7</v>
      </c>
      <c r="I47" s="5" t="s">
        <v>7</v>
      </c>
      <c r="J47" s="5" t="s">
        <v>7</v>
      </c>
      <c r="K47" s="5" t="s">
        <v>7</v>
      </c>
      <c r="L47" s="5" t="s">
        <v>7</v>
      </c>
      <c r="M47" s="5" t="s">
        <v>7</v>
      </c>
      <c r="N47" s="5" t="s">
        <v>7</v>
      </c>
      <c r="O47" s="5" t="s">
        <v>7</v>
      </c>
      <c r="P47" s="5">
        <v>80</v>
      </c>
      <c r="Q47" s="5">
        <v>80</v>
      </c>
      <c r="R47" s="5">
        <v>80</v>
      </c>
      <c r="S47" s="5">
        <v>80</v>
      </c>
      <c r="T47" s="5">
        <v>170</v>
      </c>
      <c r="U47" s="5">
        <v>170</v>
      </c>
      <c r="V47" s="5">
        <v>170</v>
      </c>
      <c r="W47" s="5">
        <v>170</v>
      </c>
      <c r="X47" s="89">
        <f t="shared" si="3"/>
        <v>0.38526912181303119</v>
      </c>
    </row>
    <row r="48" spans="1:24" s="15" customFormat="1" ht="20.25" customHeight="1">
      <c r="A48" s="64">
        <v>35</v>
      </c>
      <c r="B48" s="63" t="s">
        <v>317</v>
      </c>
      <c r="C48" s="75" t="s">
        <v>417</v>
      </c>
      <c r="D48" s="71">
        <v>2018</v>
      </c>
      <c r="E48" s="1">
        <v>180</v>
      </c>
      <c r="F48" s="1">
        <v>122</v>
      </c>
      <c r="G48" s="5" t="s">
        <v>7</v>
      </c>
      <c r="H48" s="5" t="s">
        <v>7</v>
      </c>
      <c r="I48" s="5" t="s">
        <v>7</v>
      </c>
      <c r="J48" s="5" t="s">
        <v>7</v>
      </c>
      <c r="K48" s="5" t="s">
        <v>7</v>
      </c>
      <c r="L48" s="5" t="s">
        <v>7</v>
      </c>
      <c r="M48" s="51" t="s">
        <v>7</v>
      </c>
      <c r="N48" s="51" t="s">
        <v>7</v>
      </c>
      <c r="O48" s="51" t="s">
        <v>7</v>
      </c>
      <c r="P48" s="51" t="s">
        <v>7</v>
      </c>
      <c r="Q48" s="51" t="s">
        <v>7</v>
      </c>
      <c r="R48" s="5">
        <v>180</v>
      </c>
      <c r="S48" s="5">
        <v>180</v>
      </c>
      <c r="T48" s="5">
        <v>180</v>
      </c>
      <c r="U48" s="5">
        <v>180</v>
      </c>
      <c r="V48" s="5">
        <v>180</v>
      </c>
      <c r="W48" s="5">
        <v>180</v>
      </c>
      <c r="X48" s="89">
        <f t="shared" si="3"/>
        <v>0.40793201133144474</v>
      </c>
    </row>
    <row r="49" spans="1:24" s="15" customFormat="1" ht="20.25" customHeight="1">
      <c r="A49" s="64">
        <v>36</v>
      </c>
      <c r="B49" s="63" t="s">
        <v>141</v>
      </c>
      <c r="C49" s="6" t="s">
        <v>418</v>
      </c>
      <c r="D49" s="23" t="s">
        <v>0</v>
      </c>
      <c r="E49" s="74">
        <v>20</v>
      </c>
      <c r="F49" s="1">
        <v>120</v>
      </c>
      <c r="G49" s="74" t="s">
        <v>7</v>
      </c>
      <c r="H49" s="74" t="s">
        <v>7</v>
      </c>
      <c r="I49" s="74" t="s">
        <v>7</v>
      </c>
      <c r="J49" s="74" t="s">
        <v>7</v>
      </c>
      <c r="K49" s="74" t="s">
        <v>7</v>
      </c>
      <c r="L49" s="5">
        <v>208</v>
      </c>
      <c r="M49" s="5">
        <v>208</v>
      </c>
      <c r="N49" s="5">
        <v>208</v>
      </c>
      <c r="O49" s="5">
        <v>208</v>
      </c>
      <c r="P49" s="5">
        <v>208</v>
      </c>
      <c r="Q49" s="5">
        <v>208</v>
      </c>
      <c r="R49" s="5">
        <v>208</v>
      </c>
      <c r="S49" s="5">
        <v>208</v>
      </c>
      <c r="T49" s="5">
        <v>208</v>
      </c>
      <c r="U49" s="5">
        <v>208</v>
      </c>
      <c r="V49" s="5">
        <v>208</v>
      </c>
      <c r="W49" s="5">
        <v>208</v>
      </c>
      <c r="X49" s="89">
        <f t="shared" si="3"/>
        <v>0.47138810198300285</v>
      </c>
    </row>
    <row r="50" spans="1:24" s="15" customFormat="1" ht="20.25" customHeight="1">
      <c r="A50" s="64">
        <v>37</v>
      </c>
      <c r="B50" s="63" t="s">
        <v>142</v>
      </c>
      <c r="C50" s="6" t="s">
        <v>419</v>
      </c>
      <c r="D50" s="23" t="s">
        <v>3</v>
      </c>
      <c r="E50" s="74">
        <v>272</v>
      </c>
      <c r="F50" s="1">
        <v>132</v>
      </c>
      <c r="G50" s="74" t="s">
        <v>7</v>
      </c>
      <c r="H50" s="74" t="s">
        <v>7</v>
      </c>
      <c r="I50" s="74" t="s">
        <v>7</v>
      </c>
      <c r="J50" s="74" t="s">
        <v>7</v>
      </c>
      <c r="K50" s="74" t="s">
        <v>7</v>
      </c>
      <c r="L50" s="5" t="s">
        <v>7</v>
      </c>
      <c r="M50" s="5" t="s">
        <v>7</v>
      </c>
      <c r="N50" s="5" t="s">
        <v>7</v>
      </c>
      <c r="O50" s="5" t="s">
        <v>7</v>
      </c>
      <c r="P50" s="5">
        <v>272</v>
      </c>
      <c r="Q50" s="5">
        <v>272</v>
      </c>
      <c r="R50" s="5">
        <v>272</v>
      </c>
      <c r="S50" s="5">
        <v>272</v>
      </c>
      <c r="T50" s="5">
        <v>272</v>
      </c>
      <c r="U50" s="5">
        <v>272</v>
      </c>
      <c r="V50" s="5">
        <v>272</v>
      </c>
      <c r="W50" s="5">
        <v>272</v>
      </c>
      <c r="X50" s="89">
        <f t="shared" si="3"/>
        <v>0.61643059490084984</v>
      </c>
    </row>
    <row r="51" spans="1:24" s="15" customFormat="1" ht="20.25" customHeight="1">
      <c r="A51" s="64">
        <v>38</v>
      </c>
      <c r="B51" s="63" t="s">
        <v>143</v>
      </c>
      <c r="C51" s="6" t="s">
        <v>420</v>
      </c>
      <c r="D51" s="23" t="s">
        <v>3</v>
      </c>
      <c r="E51" s="74">
        <v>26</v>
      </c>
      <c r="F51" s="1">
        <v>135</v>
      </c>
      <c r="G51" s="74" t="s">
        <v>7</v>
      </c>
      <c r="H51" s="74" t="s">
        <v>7</v>
      </c>
      <c r="I51" s="74" t="s">
        <v>7</v>
      </c>
      <c r="J51" s="74" t="s">
        <v>7</v>
      </c>
      <c r="K51" s="74" t="s">
        <v>7</v>
      </c>
      <c r="L51" s="5" t="s">
        <v>7</v>
      </c>
      <c r="M51" s="5" t="s">
        <v>7</v>
      </c>
      <c r="N51" s="5" t="s">
        <v>7</v>
      </c>
      <c r="O51" s="5" t="s">
        <v>7</v>
      </c>
      <c r="P51" s="5">
        <v>26</v>
      </c>
      <c r="Q51" s="5">
        <v>26</v>
      </c>
      <c r="R51" s="5">
        <v>26</v>
      </c>
      <c r="S51" s="5">
        <v>26</v>
      </c>
      <c r="T51" s="5">
        <v>26</v>
      </c>
      <c r="U51" s="5">
        <v>26</v>
      </c>
      <c r="V51" s="5">
        <v>26</v>
      </c>
      <c r="W51" s="5">
        <v>26</v>
      </c>
      <c r="X51" s="89">
        <f t="shared" si="3"/>
        <v>5.8923512747875356E-2</v>
      </c>
    </row>
    <row r="52" spans="1:24" s="15" customFormat="1" ht="20.25" customHeight="1">
      <c r="A52" s="64">
        <v>39</v>
      </c>
      <c r="B52" s="63" t="s">
        <v>44</v>
      </c>
      <c r="C52" s="6" t="s">
        <v>421</v>
      </c>
      <c r="D52" s="23" t="s">
        <v>45</v>
      </c>
      <c r="E52" s="74">
        <v>206</v>
      </c>
      <c r="F52" s="1">
        <v>120</v>
      </c>
      <c r="G52" s="5">
        <v>206</v>
      </c>
      <c r="H52" s="5">
        <v>206</v>
      </c>
      <c r="I52" s="5">
        <v>206</v>
      </c>
      <c r="J52" s="5">
        <v>206</v>
      </c>
      <c r="K52" s="5">
        <v>206</v>
      </c>
      <c r="L52" s="5">
        <v>206</v>
      </c>
      <c r="M52" s="5">
        <v>206</v>
      </c>
      <c r="N52" s="5">
        <v>206</v>
      </c>
      <c r="O52" s="5">
        <v>206</v>
      </c>
      <c r="P52" s="5">
        <v>244</v>
      </c>
      <c r="Q52" s="5">
        <v>244</v>
      </c>
      <c r="R52" s="5">
        <v>244</v>
      </c>
      <c r="S52" s="5">
        <v>244</v>
      </c>
      <c r="T52" s="5">
        <v>244</v>
      </c>
      <c r="U52" s="5">
        <v>260</v>
      </c>
      <c r="V52" s="5">
        <v>260</v>
      </c>
      <c r="W52" s="5">
        <v>260</v>
      </c>
      <c r="X52" s="89">
        <f t="shared" si="3"/>
        <v>0.58923512747875351</v>
      </c>
    </row>
    <row r="53" spans="1:24" s="15" customFormat="1" ht="20.25" customHeight="1">
      <c r="A53" s="64">
        <v>40</v>
      </c>
      <c r="B53" s="63" t="s">
        <v>334</v>
      </c>
      <c r="C53" s="6" t="s">
        <v>422</v>
      </c>
      <c r="D53" s="62" t="s">
        <v>46</v>
      </c>
      <c r="E53" s="74">
        <v>200</v>
      </c>
      <c r="F53" s="1">
        <v>104.6</v>
      </c>
      <c r="G53" s="5">
        <v>200</v>
      </c>
      <c r="H53" s="5">
        <v>200</v>
      </c>
      <c r="I53" s="5">
        <v>200</v>
      </c>
      <c r="J53" s="5">
        <v>200</v>
      </c>
      <c r="K53" s="5">
        <v>200</v>
      </c>
      <c r="L53" s="5">
        <v>200</v>
      </c>
      <c r="M53" s="5">
        <v>236</v>
      </c>
      <c r="N53" s="5">
        <v>236</v>
      </c>
      <c r="O53" s="5">
        <v>236</v>
      </c>
      <c r="P53" s="5">
        <v>236</v>
      </c>
      <c r="Q53" s="5">
        <v>236</v>
      </c>
      <c r="R53" s="5">
        <v>236</v>
      </c>
      <c r="S53" s="5">
        <v>236</v>
      </c>
      <c r="T53" s="5">
        <v>236</v>
      </c>
      <c r="U53" s="5">
        <v>236</v>
      </c>
      <c r="V53" s="5">
        <v>236</v>
      </c>
      <c r="W53" s="5">
        <v>236</v>
      </c>
      <c r="X53" s="89">
        <f t="shared" si="3"/>
        <v>0.53484419263456096</v>
      </c>
    </row>
    <row r="54" spans="1:24" s="15" customFormat="1" ht="20.25" customHeight="1">
      <c r="A54" s="64">
        <v>41</v>
      </c>
      <c r="B54" s="63" t="s">
        <v>144</v>
      </c>
      <c r="C54" s="6" t="s">
        <v>423</v>
      </c>
      <c r="D54" s="62" t="s">
        <v>3</v>
      </c>
      <c r="E54" s="74">
        <v>30</v>
      </c>
      <c r="F54" s="1">
        <v>128</v>
      </c>
      <c r="G54" s="5" t="s">
        <v>7</v>
      </c>
      <c r="H54" s="5" t="s">
        <v>7</v>
      </c>
      <c r="I54" s="5" t="s">
        <v>7</v>
      </c>
      <c r="J54" s="5" t="s">
        <v>7</v>
      </c>
      <c r="K54" s="5" t="s">
        <v>7</v>
      </c>
      <c r="L54" s="5" t="s">
        <v>7</v>
      </c>
      <c r="M54" s="5" t="s">
        <v>7</v>
      </c>
      <c r="N54" s="5" t="s">
        <v>7</v>
      </c>
      <c r="O54" s="5" t="s">
        <v>7</v>
      </c>
      <c r="P54" s="5">
        <v>88</v>
      </c>
      <c r="Q54" s="5">
        <v>100</v>
      </c>
      <c r="R54" s="5">
        <v>100</v>
      </c>
      <c r="S54" s="5">
        <v>100</v>
      </c>
      <c r="T54" s="5">
        <v>100</v>
      </c>
      <c r="U54" s="5">
        <v>100</v>
      </c>
      <c r="V54" s="5">
        <v>100</v>
      </c>
      <c r="W54" s="5">
        <v>100</v>
      </c>
      <c r="X54" s="89">
        <f t="shared" si="3"/>
        <v>0.22662889518413595</v>
      </c>
    </row>
    <row r="55" spans="1:24" s="15" customFormat="1" ht="20.25" customHeight="1">
      <c r="A55" s="64">
        <v>42</v>
      </c>
      <c r="B55" s="63" t="s">
        <v>47</v>
      </c>
      <c r="C55" s="6" t="s">
        <v>424</v>
      </c>
      <c r="D55" s="62">
        <v>1998</v>
      </c>
      <c r="E55" s="74">
        <v>200</v>
      </c>
      <c r="F55" s="1">
        <v>104.6</v>
      </c>
      <c r="G55" s="5">
        <v>200</v>
      </c>
      <c r="H55" s="5">
        <v>200</v>
      </c>
      <c r="I55" s="5">
        <v>200</v>
      </c>
      <c r="J55" s="5">
        <v>248</v>
      </c>
      <c r="K55" s="5">
        <v>248</v>
      </c>
      <c r="L55" s="5">
        <v>248</v>
      </c>
      <c r="M55" s="5">
        <v>248</v>
      </c>
      <c r="N55" s="5">
        <v>248</v>
      </c>
      <c r="O55" s="5">
        <v>248</v>
      </c>
      <c r="P55" s="5">
        <v>248</v>
      </c>
      <c r="Q55" s="5">
        <v>248</v>
      </c>
      <c r="R55" s="5">
        <v>248</v>
      </c>
      <c r="S55" s="5">
        <v>248</v>
      </c>
      <c r="T55" s="5">
        <v>248</v>
      </c>
      <c r="U55" s="5">
        <v>248</v>
      </c>
      <c r="V55" s="5">
        <v>248</v>
      </c>
      <c r="W55" s="5">
        <v>260</v>
      </c>
      <c r="X55" s="89">
        <f t="shared" si="3"/>
        <v>0.58923512747875351</v>
      </c>
    </row>
    <row r="56" spans="1:24" s="15" customFormat="1" ht="20.25" customHeight="1">
      <c r="A56" s="64">
        <v>43</v>
      </c>
      <c r="B56" s="63" t="s">
        <v>48</v>
      </c>
      <c r="C56" s="6" t="s">
        <v>425</v>
      </c>
      <c r="D56" s="71">
        <v>2001</v>
      </c>
      <c r="E56" s="74">
        <v>304</v>
      </c>
      <c r="F56" s="1">
        <v>110</v>
      </c>
      <c r="G56" s="5">
        <v>304</v>
      </c>
      <c r="H56" s="5">
        <v>304</v>
      </c>
      <c r="I56" s="5">
        <v>304</v>
      </c>
      <c r="J56" s="5">
        <v>304</v>
      </c>
      <c r="K56" s="5">
        <v>304</v>
      </c>
      <c r="L56" s="5">
        <v>304</v>
      </c>
      <c r="M56" s="5">
        <v>304</v>
      </c>
      <c r="N56" s="5">
        <v>304</v>
      </c>
      <c r="O56" s="5">
        <v>304</v>
      </c>
      <c r="P56" s="5">
        <v>304</v>
      </c>
      <c r="Q56" s="5">
        <v>304</v>
      </c>
      <c r="R56" s="5">
        <v>304</v>
      </c>
      <c r="S56" s="5">
        <v>304</v>
      </c>
      <c r="T56" s="5">
        <v>304</v>
      </c>
      <c r="U56" s="5">
        <v>304</v>
      </c>
      <c r="V56" s="5">
        <v>304</v>
      </c>
      <c r="W56" s="5">
        <v>304</v>
      </c>
      <c r="X56" s="89">
        <f t="shared" si="3"/>
        <v>0.68895184135977339</v>
      </c>
    </row>
    <row r="57" spans="1:24" s="15" customFormat="1" ht="20.25" customHeight="1">
      <c r="A57" s="64">
        <v>44</v>
      </c>
      <c r="B57" s="63" t="s">
        <v>49</v>
      </c>
      <c r="C57" s="6" t="s">
        <v>426</v>
      </c>
      <c r="D57" s="5" t="s">
        <v>50</v>
      </c>
      <c r="E57" s="74">
        <v>50</v>
      </c>
      <c r="F57" s="1">
        <v>104.6</v>
      </c>
      <c r="G57" s="5">
        <v>130</v>
      </c>
      <c r="H57" s="5">
        <v>130</v>
      </c>
      <c r="I57" s="5">
        <v>130</v>
      </c>
      <c r="J57" s="5">
        <v>130</v>
      </c>
      <c r="K57" s="5">
        <v>130</v>
      </c>
      <c r="L57" s="5">
        <v>130</v>
      </c>
      <c r="M57" s="5">
        <v>130</v>
      </c>
      <c r="N57" s="5">
        <v>130</v>
      </c>
      <c r="O57" s="5">
        <v>130</v>
      </c>
      <c r="P57" s="5">
        <v>130</v>
      </c>
      <c r="Q57" s="5">
        <v>228</v>
      </c>
      <c r="R57" s="5">
        <v>228</v>
      </c>
      <c r="S57" s="5">
        <v>228</v>
      </c>
      <c r="T57" s="5">
        <v>286</v>
      </c>
      <c r="U57" s="5">
        <v>286</v>
      </c>
      <c r="V57" s="5">
        <v>286</v>
      </c>
      <c r="W57" s="5">
        <v>286</v>
      </c>
      <c r="X57" s="89">
        <f t="shared" si="3"/>
        <v>0.64815864022662895</v>
      </c>
    </row>
    <row r="58" spans="1:24" s="15" customFormat="1" ht="20.25" customHeight="1">
      <c r="A58" s="64">
        <v>45</v>
      </c>
      <c r="B58" s="63" t="s">
        <v>145</v>
      </c>
      <c r="C58" s="6" t="s">
        <v>427</v>
      </c>
      <c r="D58" s="5">
        <v>2019</v>
      </c>
      <c r="E58" s="74">
        <v>24</v>
      </c>
      <c r="F58" s="1">
        <v>126</v>
      </c>
      <c r="G58" s="5" t="s">
        <v>7</v>
      </c>
      <c r="H58" s="5" t="s">
        <v>7</v>
      </c>
      <c r="I58" s="5" t="s">
        <v>7</v>
      </c>
      <c r="J58" s="5" t="s">
        <v>7</v>
      </c>
      <c r="K58" s="5" t="s">
        <v>7</v>
      </c>
      <c r="L58" s="5" t="s">
        <v>7</v>
      </c>
      <c r="M58" s="5" t="s">
        <v>7</v>
      </c>
      <c r="N58" s="5" t="s">
        <v>7</v>
      </c>
      <c r="O58" s="5" t="s">
        <v>7</v>
      </c>
      <c r="P58" s="5" t="s">
        <v>7</v>
      </c>
      <c r="Q58" s="5" t="s">
        <v>7</v>
      </c>
      <c r="R58" s="5" t="s">
        <v>7</v>
      </c>
      <c r="S58" s="5">
        <v>24</v>
      </c>
      <c r="T58" s="5">
        <v>62</v>
      </c>
      <c r="U58" s="5">
        <v>62</v>
      </c>
      <c r="V58" s="5">
        <v>62</v>
      </c>
      <c r="W58" s="5">
        <v>62</v>
      </c>
      <c r="X58" s="89">
        <f t="shared" si="3"/>
        <v>0.14050991501416429</v>
      </c>
    </row>
    <row r="59" spans="1:24" s="15" customFormat="1" ht="20.25" customHeight="1">
      <c r="A59" s="64">
        <v>46</v>
      </c>
      <c r="B59" s="75" t="s">
        <v>146</v>
      </c>
      <c r="C59" s="75" t="s">
        <v>428</v>
      </c>
      <c r="D59" s="71">
        <v>2018</v>
      </c>
      <c r="E59" s="1">
        <v>134</v>
      </c>
      <c r="F59" s="1">
        <v>112</v>
      </c>
      <c r="G59" s="51" t="s">
        <v>7</v>
      </c>
      <c r="H59" s="51" t="s">
        <v>7</v>
      </c>
      <c r="I59" s="51" t="s">
        <v>7</v>
      </c>
      <c r="J59" s="51" t="s">
        <v>7</v>
      </c>
      <c r="K59" s="51" t="s">
        <v>7</v>
      </c>
      <c r="L59" s="51" t="s">
        <v>7</v>
      </c>
      <c r="M59" s="51" t="s">
        <v>7</v>
      </c>
      <c r="N59" s="51" t="s">
        <v>7</v>
      </c>
      <c r="O59" s="51" t="s">
        <v>7</v>
      </c>
      <c r="P59" s="51" t="s">
        <v>7</v>
      </c>
      <c r="Q59" s="51" t="s">
        <v>7</v>
      </c>
      <c r="R59" s="5">
        <v>134</v>
      </c>
      <c r="S59" s="5">
        <v>146</v>
      </c>
      <c r="T59" s="5">
        <v>146</v>
      </c>
      <c r="U59" s="5">
        <v>146</v>
      </c>
      <c r="V59" s="5">
        <v>146</v>
      </c>
      <c r="W59" s="5">
        <v>146</v>
      </c>
      <c r="X59" s="89">
        <f t="shared" si="3"/>
        <v>0.33087818696883853</v>
      </c>
    </row>
    <row r="60" spans="1:24" s="4" customFormat="1" ht="20.25" customHeight="1">
      <c r="A60" s="95">
        <v>47</v>
      </c>
      <c r="B60" s="85" t="s">
        <v>147</v>
      </c>
      <c r="C60" s="85" t="s">
        <v>429</v>
      </c>
      <c r="D60" s="72">
        <v>2017</v>
      </c>
      <c r="E60" s="17">
        <v>248</v>
      </c>
      <c r="F60" s="17">
        <v>125</v>
      </c>
      <c r="G60" s="24" t="s">
        <v>7</v>
      </c>
      <c r="H60" s="24" t="s">
        <v>7</v>
      </c>
      <c r="I60" s="24" t="s">
        <v>7</v>
      </c>
      <c r="J60" s="24" t="s">
        <v>7</v>
      </c>
      <c r="K60" s="24" t="s">
        <v>7</v>
      </c>
      <c r="L60" s="24" t="s">
        <v>7</v>
      </c>
      <c r="M60" s="24" t="s">
        <v>7</v>
      </c>
      <c r="N60" s="24" t="s">
        <v>7</v>
      </c>
      <c r="O60" s="24" t="s">
        <v>7</v>
      </c>
      <c r="P60" s="24" t="s">
        <v>7</v>
      </c>
      <c r="Q60" s="24">
        <v>248</v>
      </c>
      <c r="R60" s="24">
        <v>248</v>
      </c>
      <c r="S60" s="24">
        <v>248</v>
      </c>
      <c r="T60" s="24">
        <v>248</v>
      </c>
      <c r="U60" s="24">
        <v>248</v>
      </c>
      <c r="V60" s="24">
        <v>256</v>
      </c>
      <c r="W60" s="24">
        <v>256</v>
      </c>
      <c r="X60" s="92">
        <f t="shared" si="3"/>
        <v>0.58016997167138817</v>
      </c>
    </row>
    <row r="61" spans="1:24" s="15" customFormat="1" ht="20.25" customHeight="1">
      <c r="A61" s="96"/>
      <c r="B61" s="66" t="s">
        <v>16</v>
      </c>
      <c r="C61" s="65"/>
      <c r="D61" s="14" t="s">
        <v>7</v>
      </c>
      <c r="E61" s="14" t="s">
        <v>7</v>
      </c>
      <c r="F61" s="14" t="s">
        <v>7</v>
      </c>
      <c r="G61" s="14">
        <f t="shared" ref="G61:L61" si="14">SUM(G67:G74)</f>
        <v>1276</v>
      </c>
      <c r="H61" s="14">
        <f t="shared" si="14"/>
        <v>1294</v>
      </c>
      <c r="I61" s="14">
        <f t="shared" si="14"/>
        <v>1336</v>
      </c>
      <c r="J61" s="14">
        <f t="shared" si="14"/>
        <v>1336</v>
      </c>
      <c r="K61" s="14">
        <f t="shared" si="14"/>
        <v>1336</v>
      </c>
      <c r="L61" s="14">
        <f t="shared" si="14"/>
        <v>1336</v>
      </c>
      <c r="M61" s="14">
        <f t="shared" ref="M61:U61" si="15">SUM(M62:M74)</f>
        <v>1476</v>
      </c>
      <c r="N61" s="14">
        <f t="shared" si="15"/>
        <v>1636</v>
      </c>
      <c r="O61" s="14">
        <f t="shared" si="15"/>
        <v>1636</v>
      </c>
      <c r="P61" s="14">
        <f t="shared" si="15"/>
        <v>2138</v>
      </c>
      <c r="Q61" s="14">
        <f t="shared" si="15"/>
        <v>2250</v>
      </c>
      <c r="R61" s="14">
        <f t="shared" si="15"/>
        <v>2284</v>
      </c>
      <c r="S61" s="14">
        <f t="shared" si="15"/>
        <v>2440</v>
      </c>
      <c r="T61" s="14">
        <f t="shared" si="15"/>
        <v>2468</v>
      </c>
      <c r="U61" s="14">
        <f t="shared" si="15"/>
        <v>2774</v>
      </c>
      <c r="V61" s="14">
        <f t="shared" ref="V61:W61" si="16">SUM(V62:V74)</f>
        <v>2862</v>
      </c>
      <c r="W61" s="14">
        <f t="shared" si="16"/>
        <v>3492</v>
      </c>
      <c r="X61" s="88">
        <f t="shared" si="3"/>
        <v>7.9138810198300282</v>
      </c>
    </row>
    <row r="62" spans="1:24" s="15" customFormat="1" ht="20.25" customHeight="1">
      <c r="A62" s="64">
        <v>48</v>
      </c>
      <c r="B62" s="63" t="s">
        <v>148</v>
      </c>
      <c r="C62" s="6" t="s">
        <v>430</v>
      </c>
      <c r="D62" s="71">
        <v>2013</v>
      </c>
      <c r="E62" s="1">
        <v>140</v>
      </c>
      <c r="F62" s="1">
        <v>133</v>
      </c>
      <c r="G62" s="1" t="s">
        <v>7</v>
      </c>
      <c r="H62" s="1" t="s">
        <v>7</v>
      </c>
      <c r="I62" s="1" t="s">
        <v>7</v>
      </c>
      <c r="J62" s="1" t="s">
        <v>7</v>
      </c>
      <c r="K62" s="1" t="s">
        <v>7</v>
      </c>
      <c r="L62" s="1" t="s">
        <v>7</v>
      </c>
      <c r="M62" s="5">
        <v>140</v>
      </c>
      <c r="N62" s="5">
        <v>300</v>
      </c>
      <c r="O62" s="5">
        <v>300</v>
      </c>
      <c r="P62" s="5">
        <v>300</v>
      </c>
      <c r="Q62" s="5">
        <v>300</v>
      </c>
      <c r="R62" s="5">
        <v>300</v>
      </c>
      <c r="S62" s="5">
        <v>300</v>
      </c>
      <c r="T62" s="5">
        <v>300</v>
      </c>
      <c r="U62" s="5">
        <v>380</v>
      </c>
      <c r="V62" s="5">
        <v>380</v>
      </c>
      <c r="W62" s="5">
        <v>392</v>
      </c>
      <c r="X62" s="89">
        <f t="shared" si="3"/>
        <v>0.88838526912181304</v>
      </c>
    </row>
    <row r="63" spans="1:24" s="15" customFormat="1" ht="20.25" customHeight="1">
      <c r="A63" s="64">
        <v>49</v>
      </c>
      <c r="B63" s="63" t="s">
        <v>149</v>
      </c>
      <c r="C63" s="6" t="s">
        <v>431</v>
      </c>
      <c r="D63" s="62" t="s">
        <v>3</v>
      </c>
      <c r="E63" s="1">
        <v>302</v>
      </c>
      <c r="F63" s="1">
        <v>122</v>
      </c>
      <c r="G63" s="1" t="s">
        <v>7</v>
      </c>
      <c r="H63" s="1" t="s">
        <v>7</v>
      </c>
      <c r="I63" s="1" t="s">
        <v>7</v>
      </c>
      <c r="J63" s="1" t="s">
        <v>7</v>
      </c>
      <c r="K63" s="1" t="s">
        <v>7</v>
      </c>
      <c r="L63" s="1" t="s">
        <v>7</v>
      </c>
      <c r="M63" s="1" t="s">
        <v>7</v>
      </c>
      <c r="N63" s="1" t="s">
        <v>7</v>
      </c>
      <c r="O63" s="1" t="s">
        <v>7</v>
      </c>
      <c r="P63" s="5">
        <v>302</v>
      </c>
      <c r="Q63" s="5">
        <v>302</v>
      </c>
      <c r="R63" s="5">
        <v>302</v>
      </c>
      <c r="S63" s="5">
        <v>302</v>
      </c>
      <c r="T63" s="5">
        <v>302</v>
      </c>
      <c r="U63" s="5">
        <v>302</v>
      </c>
      <c r="V63" s="5">
        <v>302</v>
      </c>
      <c r="W63" s="5">
        <v>302</v>
      </c>
      <c r="X63" s="89">
        <f t="shared" si="3"/>
        <v>0.68441926345609061</v>
      </c>
    </row>
    <row r="64" spans="1:24" s="15" customFormat="1" ht="20.25" customHeight="1">
      <c r="A64" s="64">
        <v>50</v>
      </c>
      <c r="B64" s="63" t="s">
        <v>150</v>
      </c>
      <c r="C64" s="6" t="s">
        <v>432</v>
      </c>
      <c r="D64" s="62" t="s">
        <v>4</v>
      </c>
      <c r="E64" s="1">
        <v>98</v>
      </c>
      <c r="F64" s="1">
        <v>145</v>
      </c>
      <c r="G64" s="1" t="s">
        <v>7</v>
      </c>
      <c r="H64" s="1" t="s">
        <v>7</v>
      </c>
      <c r="I64" s="1" t="s">
        <v>7</v>
      </c>
      <c r="J64" s="1" t="s">
        <v>7</v>
      </c>
      <c r="K64" s="1" t="s">
        <v>7</v>
      </c>
      <c r="L64" s="1" t="s">
        <v>7</v>
      </c>
      <c r="M64" s="1" t="s">
        <v>7</v>
      </c>
      <c r="N64" s="1" t="s">
        <v>7</v>
      </c>
      <c r="O64" s="1" t="s">
        <v>7</v>
      </c>
      <c r="P64" s="51" t="s">
        <v>7</v>
      </c>
      <c r="Q64" s="5">
        <v>98</v>
      </c>
      <c r="R64" s="5">
        <v>98</v>
      </c>
      <c r="S64" s="5">
        <v>98</v>
      </c>
      <c r="T64" s="5">
        <v>126</v>
      </c>
      <c r="U64" s="5">
        <v>126</v>
      </c>
      <c r="V64" s="5">
        <v>126</v>
      </c>
      <c r="W64" s="5">
        <v>126</v>
      </c>
      <c r="X64" s="89">
        <f t="shared" si="3"/>
        <v>0.28555240793201131</v>
      </c>
    </row>
    <row r="65" spans="1:25" s="15" customFormat="1" ht="20.25" customHeight="1">
      <c r="A65" s="64">
        <v>51</v>
      </c>
      <c r="B65" s="63" t="s">
        <v>151</v>
      </c>
      <c r="C65" s="6" t="s">
        <v>433</v>
      </c>
      <c r="D65" s="62" t="s">
        <v>3</v>
      </c>
      <c r="E65" s="1">
        <v>180</v>
      </c>
      <c r="F65" s="1">
        <v>148</v>
      </c>
      <c r="G65" s="1" t="s">
        <v>7</v>
      </c>
      <c r="H65" s="1" t="s">
        <v>7</v>
      </c>
      <c r="I65" s="1" t="s">
        <v>7</v>
      </c>
      <c r="J65" s="1" t="s">
        <v>7</v>
      </c>
      <c r="K65" s="1" t="s">
        <v>7</v>
      </c>
      <c r="L65" s="1" t="s">
        <v>7</v>
      </c>
      <c r="M65" s="5" t="s">
        <v>7</v>
      </c>
      <c r="N65" s="5" t="s">
        <v>7</v>
      </c>
      <c r="O65" s="5" t="s">
        <v>7</v>
      </c>
      <c r="P65" s="5">
        <v>180</v>
      </c>
      <c r="Q65" s="5">
        <v>180</v>
      </c>
      <c r="R65" s="5">
        <v>180</v>
      </c>
      <c r="S65" s="5">
        <v>180</v>
      </c>
      <c r="T65" s="5">
        <v>180</v>
      </c>
      <c r="U65" s="5">
        <v>180</v>
      </c>
      <c r="V65" s="5">
        <v>180</v>
      </c>
      <c r="W65" s="5">
        <v>180</v>
      </c>
      <c r="X65" s="89">
        <f t="shared" si="3"/>
        <v>0.40793201133144474</v>
      </c>
    </row>
    <row r="66" spans="1:25" s="15" customFormat="1" ht="20.25" customHeight="1">
      <c r="A66" s="64">
        <v>52</v>
      </c>
      <c r="B66" s="63" t="s">
        <v>152</v>
      </c>
      <c r="C66" s="6" t="s">
        <v>434</v>
      </c>
      <c r="D66" s="62" t="s">
        <v>114</v>
      </c>
      <c r="E66" s="1">
        <v>156</v>
      </c>
      <c r="F66" s="1">
        <v>130</v>
      </c>
      <c r="G66" s="1" t="s">
        <v>7</v>
      </c>
      <c r="H66" s="1" t="s">
        <v>7</v>
      </c>
      <c r="I66" s="1" t="s">
        <v>7</v>
      </c>
      <c r="J66" s="1" t="s">
        <v>7</v>
      </c>
      <c r="K66" s="1" t="s">
        <v>7</v>
      </c>
      <c r="L66" s="1" t="s">
        <v>7</v>
      </c>
      <c r="M66" s="5" t="s">
        <v>7</v>
      </c>
      <c r="N66" s="5" t="s">
        <v>7</v>
      </c>
      <c r="O66" s="5" t="s">
        <v>7</v>
      </c>
      <c r="P66" s="5" t="s">
        <v>7</v>
      </c>
      <c r="Q66" s="5" t="s">
        <v>7</v>
      </c>
      <c r="R66" s="5" t="s">
        <v>7</v>
      </c>
      <c r="S66" s="5">
        <v>156</v>
      </c>
      <c r="T66" s="5">
        <v>156</v>
      </c>
      <c r="U66" s="5">
        <v>156</v>
      </c>
      <c r="V66" s="5">
        <v>156</v>
      </c>
      <c r="W66" s="5">
        <v>156</v>
      </c>
      <c r="X66" s="89">
        <f t="shared" si="3"/>
        <v>0.35354107648725214</v>
      </c>
    </row>
    <row r="67" spans="1:25" ht="20.25" customHeight="1">
      <c r="A67" s="64">
        <v>53</v>
      </c>
      <c r="B67" s="63" t="s">
        <v>153</v>
      </c>
      <c r="C67" s="6" t="s">
        <v>435</v>
      </c>
      <c r="D67" s="62" t="s">
        <v>46</v>
      </c>
      <c r="E67" s="74">
        <v>200</v>
      </c>
      <c r="F67" s="1">
        <v>125.5</v>
      </c>
      <c r="G67" s="1">
        <v>200</v>
      </c>
      <c r="H67" s="1">
        <v>200</v>
      </c>
      <c r="I67" s="1">
        <v>200</v>
      </c>
      <c r="J67" s="1">
        <v>200</v>
      </c>
      <c r="K67" s="1">
        <v>200</v>
      </c>
      <c r="L67" s="1">
        <v>200</v>
      </c>
      <c r="M67" s="5">
        <v>200</v>
      </c>
      <c r="N67" s="5">
        <v>200</v>
      </c>
      <c r="O67" s="5">
        <v>200</v>
      </c>
      <c r="P67" s="5">
        <v>200</v>
      </c>
      <c r="Q67" s="5">
        <v>192</v>
      </c>
      <c r="R67" s="5">
        <v>192</v>
      </c>
      <c r="S67" s="5">
        <v>192</v>
      </c>
      <c r="T67" s="5">
        <v>192</v>
      </c>
      <c r="U67" s="5">
        <v>192</v>
      </c>
      <c r="V67" s="5">
        <v>192</v>
      </c>
      <c r="W67" s="5">
        <v>200</v>
      </c>
      <c r="X67" s="89">
        <f t="shared" si="3"/>
        <v>0.45325779036827191</v>
      </c>
    </row>
    <row r="68" spans="1:25" s="15" customFormat="1" ht="20.25" customHeight="1">
      <c r="A68" s="64">
        <v>54</v>
      </c>
      <c r="B68" s="63" t="s">
        <v>51</v>
      </c>
      <c r="C68" s="6" t="s">
        <v>436</v>
      </c>
      <c r="D68" s="62">
        <v>1998</v>
      </c>
      <c r="E68" s="74">
        <v>90</v>
      </c>
      <c r="F68" s="1">
        <v>128.69999999999999</v>
      </c>
      <c r="G68" s="1">
        <v>120</v>
      </c>
      <c r="H68" s="1">
        <v>120</v>
      </c>
      <c r="I68" s="1">
        <v>120</v>
      </c>
      <c r="J68" s="1">
        <v>120</v>
      </c>
      <c r="K68" s="1">
        <v>120</v>
      </c>
      <c r="L68" s="1">
        <v>120</v>
      </c>
      <c r="M68" s="5">
        <v>120</v>
      </c>
      <c r="N68" s="5">
        <v>120</v>
      </c>
      <c r="O68" s="5">
        <v>120</v>
      </c>
      <c r="P68" s="5">
        <v>130</v>
      </c>
      <c r="Q68" s="5">
        <v>130</v>
      </c>
      <c r="R68" s="5">
        <v>130</v>
      </c>
      <c r="S68" s="5">
        <v>130</v>
      </c>
      <c r="T68" s="5">
        <v>130</v>
      </c>
      <c r="U68" s="5">
        <v>130</v>
      </c>
      <c r="V68" s="5">
        <v>130</v>
      </c>
      <c r="W68" s="5">
        <v>130</v>
      </c>
      <c r="X68" s="89">
        <f t="shared" si="3"/>
        <v>0.29461756373937675</v>
      </c>
    </row>
    <row r="69" spans="1:25" s="15" customFormat="1" ht="20.25" customHeight="1">
      <c r="A69" s="64">
        <v>55</v>
      </c>
      <c r="B69" s="63" t="s">
        <v>154</v>
      </c>
      <c r="C69" s="6" t="s">
        <v>437</v>
      </c>
      <c r="D69" s="62" t="s">
        <v>5</v>
      </c>
      <c r="E69" s="74">
        <v>34</v>
      </c>
      <c r="F69" s="1">
        <v>146</v>
      </c>
      <c r="G69" s="51" t="s">
        <v>7</v>
      </c>
      <c r="H69" s="51" t="s">
        <v>7</v>
      </c>
      <c r="I69" s="51" t="s">
        <v>7</v>
      </c>
      <c r="J69" s="51" t="s">
        <v>7</v>
      </c>
      <c r="K69" s="51" t="s">
        <v>7</v>
      </c>
      <c r="L69" s="51" t="s">
        <v>7</v>
      </c>
      <c r="M69" s="51" t="s">
        <v>7</v>
      </c>
      <c r="N69" s="51" t="s">
        <v>7</v>
      </c>
      <c r="O69" s="51" t="s">
        <v>7</v>
      </c>
      <c r="P69" s="51" t="s">
        <v>7</v>
      </c>
      <c r="Q69" s="51" t="s">
        <v>7</v>
      </c>
      <c r="R69" s="5">
        <v>34</v>
      </c>
      <c r="S69" s="5">
        <v>34</v>
      </c>
      <c r="T69" s="5">
        <v>34</v>
      </c>
      <c r="U69" s="5">
        <v>34</v>
      </c>
      <c r="V69" s="5">
        <v>34</v>
      </c>
      <c r="W69" s="5">
        <v>34</v>
      </c>
      <c r="X69" s="89">
        <f t="shared" si="3"/>
        <v>7.705382436260623E-2</v>
      </c>
    </row>
    <row r="70" spans="1:25" ht="20.25" customHeight="1">
      <c r="A70" s="64">
        <v>56</v>
      </c>
      <c r="B70" s="63" t="s">
        <v>352</v>
      </c>
      <c r="C70" s="6" t="s">
        <v>438</v>
      </c>
      <c r="D70" s="5" t="s">
        <v>52</v>
      </c>
      <c r="E70" s="74">
        <v>18</v>
      </c>
      <c r="F70" s="1">
        <v>128.69999999999999</v>
      </c>
      <c r="G70" s="1">
        <v>740</v>
      </c>
      <c r="H70" s="1">
        <v>746</v>
      </c>
      <c r="I70" s="1">
        <v>768</v>
      </c>
      <c r="J70" s="1">
        <v>768</v>
      </c>
      <c r="K70" s="1">
        <v>768</v>
      </c>
      <c r="L70" s="1">
        <v>768</v>
      </c>
      <c r="M70" s="5">
        <v>768</v>
      </c>
      <c r="N70" s="5">
        <v>768</v>
      </c>
      <c r="O70" s="5">
        <v>768</v>
      </c>
      <c r="P70" s="5">
        <v>778</v>
      </c>
      <c r="Q70" s="5">
        <v>778</v>
      </c>
      <c r="R70" s="5">
        <v>778</v>
      </c>
      <c r="S70" s="5">
        <v>778</v>
      </c>
      <c r="T70" s="5">
        <v>778</v>
      </c>
      <c r="U70" s="5">
        <v>778</v>
      </c>
      <c r="V70" s="5">
        <v>778</v>
      </c>
      <c r="W70" s="5">
        <v>778</v>
      </c>
      <c r="X70" s="89">
        <f t="shared" si="3"/>
        <v>1.7631728045325781</v>
      </c>
    </row>
    <row r="71" spans="1:25" ht="20.25" customHeight="1">
      <c r="A71" s="64">
        <v>57</v>
      </c>
      <c r="B71" s="63" t="s">
        <v>335</v>
      </c>
      <c r="C71" s="6" t="s">
        <v>439</v>
      </c>
      <c r="D71" s="62">
        <v>2021</v>
      </c>
      <c r="E71" s="74">
        <v>226</v>
      </c>
      <c r="F71" s="1">
        <v>130</v>
      </c>
      <c r="G71" s="1" t="s">
        <v>7</v>
      </c>
      <c r="H71" s="1" t="s">
        <v>7</v>
      </c>
      <c r="I71" s="1" t="s">
        <v>7</v>
      </c>
      <c r="J71" s="1" t="s">
        <v>7</v>
      </c>
      <c r="K71" s="1" t="s">
        <v>7</v>
      </c>
      <c r="L71" s="1" t="s">
        <v>7</v>
      </c>
      <c r="M71" s="1" t="s">
        <v>7</v>
      </c>
      <c r="N71" s="1" t="s">
        <v>7</v>
      </c>
      <c r="O71" s="1" t="s">
        <v>7</v>
      </c>
      <c r="P71" s="1" t="s">
        <v>7</v>
      </c>
      <c r="Q71" s="1" t="s">
        <v>7</v>
      </c>
      <c r="R71" s="1" t="s">
        <v>7</v>
      </c>
      <c r="S71" s="1" t="s">
        <v>7</v>
      </c>
      <c r="T71" s="1" t="s">
        <v>7</v>
      </c>
      <c r="U71" s="5">
        <v>226</v>
      </c>
      <c r="V71" s="5">
        <v>314</v>
      </c>
      <c r="W71" s="5">
        <v>314</v>
      </c>
      <c r="X71" s="89">
        <f t="shared" si="3"/>
        <v>0.71161473087818694</v>
      </c>
    </row>
    <row r="72" spans="1:25" ht="20.25" customHeight="1">
      <c r="A72" s="64">
        <v>58</v>
      </c>
      <c r="B72" s="63" t="s">
        <v>373</v>
      </c>
      <c r="C72" s="6" t="s">
        <v>440</v>
      </c>
      <c r="D72" s="62">
        <v>2023</v>
      </c>
      <c r="E72" s="74">
        <v>424</v>
      </c>
      <c r="F72" s="1">
        <v>128</v>
      </c>
      <c r="G72" s="1" t="s">
        <v>7</v>
      </c>
      <c r="H72" s="1" t="s">
        <v>7</v>
      </c>
      <c r="I72" s="1" t="s">
        <v>7</v>
      </c>
      <c r="J72" s="1" t="s">
        <v>7</v>
      </c>
      <c r="K72" s="1" t="s">
        <v>7</v>
      </c>
      <c r="L72" s="1" t="s">
        <v>7</v>
      </c>
      <c r="M72" s="1" t="s">
        <v>7</v>
      </c>
      <c r="N72" s="1" t="s">
        <v>7</v>
      </c>
      <c r="O72" s="1" t="s">
        <v>7</v>
      </c>
      <c r="P72" s="1" t="s">
        <v>7</v>
      </c>
      <c r="Q72" s="1" t="s">
        <v>7</v>
      </c>
      <c r="R72" s="1" t="s">
        <v>7</v>
      </c>
      <c r="S72" s="1" t="s">
        <v>7</v>
      </c>
      <c r="T72" s="1" t="s">
        <v>7</v>
      </c>
      <c r="U72" s="1" t="s">
        <v>7</v>
      </c>
      <c r="V72" s="1" t="s">
        <v>7</v>
      </c>
      <c r="W72" s="5">
        <v>424</v>
      </c>
      <c r="X72" s="89">
        <f t="shared" si="3"/>
        <v>0.96090651558073648</v>
      </c>
    </row>
    <row r="73" spans="1:25" ht="20.25" customHeight="1">
      <c r="A73" s="64">
        <v>59</v>
      </c>
      <c r="B73" s="63" t="s">
        <v>374</v>
      </c>
      <c r="C73" s="6" t="s">
        <v>441</v>
      </c>
      <c r="D73" s="62">
        <v>2023</v>
      </c>
      <c r="E73" s="74">
        <v>186</v>
      </c>
      <c r="F73" s="1">
        <v>128</v>
      </c>
      <c r="G73" s="1" t="s">
        <v>7</v>
      </c>
      <c r="H73" s="1" t="s">
        <v>7</v>
      </c>
      <c r="I73" s="1" t="s">
        <v>7</v>
      </c>
      <c r="J73" s="1" t="s">
        <v>7</v>
      </c>
      <c r="K73" s="1" t="s">
        <v>7</v>
      </c>
      <c r="L73" s="1" t="s">
        <v>7</v>
      </c>
      <c r="M73" s="1" t="s">
        <v>7</v>
      </c>
      <c r="N73" s="1" t="s">
        <v>7</v>
      </c>
      <c r="O73" s="1" t="s">
        <v>7</v>
      </c>
      <c r="P73" s="1" t="s">
        <v>7</v>
      </c>
      <c r="Q73" s="1" t="s">
        <v>7</v>
      </c>
      <c r="R73" s="1" t="s">
        <v>7</v>
      </c>
      <c r="S73" s="1" t="s">
        <v>7</v>
      </c>
      <c r="T73" s="1" t="s">
        <v>7</v>
      </c>
      <c r="U73" s="1" t="s">
        <v>7</v>
      </c>
      <c r="V73" s="1" t="s">
        <v>7</v>
      </c>
      <c r="W73" s="5">
        <v>186</v>
      </c>
      <c r="X73" s="89">
        <f t="shared" si="3"/>
        <v>0.42152974504249291</v>
      </c>
    </row>
    <row r="74" spans="1:25" ht="20.25" customHeight="1">
      <c r="A74" s="16">
        <v>60</v>
      </c>
      <c r="B74" s="27" t="s">
        <v>155</v>
      </c>
      <c r="C74" s="37" t="s">
        <v>156</v>
      </c>
      <c r="D74" s="72">
        <v>1999</v>
      </c>
      <c r="E74" s="19">
        <v>200</v>
      </c>
      <c r="F74" s="17">
        <v>128.69999999999999</v>
      </c>
      <c r="G74" s="17">
        <v>216</v>
      </c>
      <c r="H74" s="17">
        <v>228</v>
      </c>
      <c r="I74" s="17">
        <v>248</v>
      </c>
      <c r="J74" s="17">
        <v>248</v>
      </c>
      <c r="K74" s="17">
        <v>248</v>
      </c>
      <c r="L74" s="17">
        <v>248</v>
      </c>
      <c r="M74" s="25">
        <v>248</v>
      </c>
      <c r="N74" s="25">
        <v>248</v>
      </c>
      <c r="O74" s="25">
        <v>248</v>
      </c>
      <c r="P74" s="25">
        <v>248</v>
      </c>
      <c r="Q74" s="25">
        <v>270</v>
      </c>
      <c r="R74" s="25">
        <v>270</v>
      </c>
      <c r="S74" s="25">
        <v>270</v>
      </c>
      <c r="T74" s="25">
        <v>270</v>
      </c>
      <c r="U74" s="25">
        <v>270</v>
      </c>
      <c r="V74" s="25">
        <v>270</v>
      </c>
      <c r="W74" s="25">
        <v>270</v>
      </c>
      <c r="X74" s="92">
        <f>W74/W$6*100</f>
        <v>0.61189801699716717</v>
      </c>
    </row>
    <row r="75" spans="1:25" s="15" customFormat="1" ht="20.25" customHeight="1">
      <c r="A75" s="96"/>
      <c r="B75" s="66" t="s">
        <v>17</v>
      </c>
      <c r="C75" s="65"/>
      <c r="D75" s="14" t="s">
        <v>7</v>
      </c>
      <c r="E75" s="14" t="s">
        <v>7</v>
      </c>
      <c r="F75" s="14" t="s">
        <v>7</v>
      </c>
      <c r="G75" s="14">
        <f t="shared" ref="G75:U75" si="17">SUM(G76:G136)</f>
        <v>8420</v>
      </c>
      <c r="H75" s="14">
        <f t="shared" si="17"/>
        <v>8610</v>
      </c>
      <c r="I75" s="14">
        <f t="shared" si="17"/>
        <v>8678</v>
      </c>
      <c r="J75" s="14">
        <f t="shared" si="17"/>
        <v>8754</v>
      </c>
      <c r="K75" s="14">
        <f t="shared" si="17"/>
        <v>8824</v>
      </c>
      <c r="L75" s="14">
        <f t="shared" si="17"/>
        <v>8828</v>
      </c>
      <c r="M75" s="14">
        <f t="shared" si="17"/>
        <v>8964</v>
      </c>
      <c r="N75" s="14">
        <f t="shared" si="17"/>
        <v>8968</v>
      </c>
      <c r="O75" s="14">
        <f t="shared" si="17"/>
        <v>9088</v>
      </c>
      <c r="P75" s="14">
        <f t="shared" si="17"/>
        <v>9506</v>
      </c>
      <c r="Q75" s="14">
        <f t="shared" si="17"/>
        <v>10094</v>
      </c>
      <c r="R75" s="14">
        <f t="shared" si="17"/>
        <v>10568</v>
      </c>
      <c r="S75" s="14">
        <f t="shared" si="17"/>
        <v>12100</v>
      </c>
      <c r="T75" s="14">
        <f t="shared" si="17"/>
        <v>12048</v>
      </c>
      <c r="U75" s="14">
        <f t="shared" si="17"/>
        <v>12810</v>
      </c>
      <c r="V75" s="14">
        <f t="shared" ref="V75:W75" si="18">SUM(V76:V136)</f>
        <v>13906</v>
      </c>
      <c r="W75" s="14">
        <f t="shared" si="18"/>
        <v>14448</v>
      </c>
      <c r="X75" s="88">
        <f t="shared" ref="X75:X140" si="19">W75/W$6*100</f>
        <v>32.743342776203967</v>
      </c>
    </row>
    <row r="76" spans="1:25" ht="20.25" customHeight="1">
      <c r="A76" s="64">
        <v>61</v>
      </c>
      <c r="B76" s="63" t="s">
        <v>157</v>
      </c>
      <c r="C76" s="6" t="s">
        <v>158</v>
      </c>
      <c r="D76" s="23">
        <v>1978</v>
      </c>
      <c r="E76" s="74">
        <v>34</v>
      </c>
      <c r="F76" s="1">
        <v>34</v>
      </c>
      <c r="G76" s="1">
        <v>232</v>
      </c>
      <c r="H76" s="1">
        <v>256</v>
      </c>
      <c r="I76" s="1">
        <v>256</v>
      </c>
      <c r="J76" s="1">
        <v>256</v>
      </c>
      <c r="K76" s="1">
        <v>256</v>
      </c>
      <c r="L76" s="1">
        <v>256</v>
      </c>
      <c r="M76" s="1">
        <v>256</v>
      </c>
      <c r="N76" s="1">
        <v>256</v>
      </c>
      <c r="O76" s="1">
        <v>256</v>
      </c>
      <c r="P76" s="1">
        <v>256</v>
      </c>
      <c r="Q76" s="1">
        <v>260</v>
      </c>
      <c r="R76" s="1">
        <v>260</v>
      </c>
      <c r="S76" s="1">
        <v>260</v>
      </c>
      <c r="T76" s="1">
        <v>260</v>
      </c>
      <c r="U76" s="1">
        <v>260</v>
      </c>
      <c r="V76" s="1">
        <v>244</v>
      </c>
      <c r="W76" s="1">
        <v>244</v>
      </c>
      <c r="X76" s="48">
        <f>W76/W$6*100</f>
        <v>0.55297450424929184</v>
      </c>
    </row>
    <row r="77" spans="1:25" ht="20.25" customHeight="1">
      <c r="A77" s="64">
        <v>62</v>
      </c>
      <c r="B77" s="63" t="s">
        <v>159</v>
      </c>
      <c r="C77" s="6" t="s">
        <v>160</v>
      </c>
      <c r="D77" s="5" t="s">
        <v>52</v>
      </c>
      <c r="E77" s="74">
        <v>18</v>
      </c>
      <c r="F77" s="1">
        <v>8</v>
      </c>
      <c r="G77" s="1">
        <v>66</v>
      </c>
      <c r="H77" s="1">
        <v>66</v>
      </c>
      <c r="I77" s="1">
        <v>100</v>
      </c>
      <c r="J77" s="1">
        <v>100</v>
      </c>
      <c r="K77" s="1">
        <v>100</v>
      </c>
      <c r="L77" s="1">
        <v>100</v>
      </c>
      <c r="M77" s="1">
        <v>100</v>
      </c>
      <c r="N77" s="1">
        <v>100</v>
      </c>
      <c r="O77" s="1">
        <v>100</v>
      </c>
      <c r="P77" s="1">
        <v>100</v>
      </c>
      <c r="Q77" s="1">
        <v>100</v>
      </c>
      <c r="R77" s="1">
        <v>100</v>
      </c>
      <c r="S77" s="1">
        <v>100</v>
      </c>
      <c r="T77" s="1">
        <v>100</v>
      </c>
      <c r="U77" s="1">
        <v>100</v>
      </c>
      <c r="V77" s="1">
        <v>100</v>
      </c>
      <c r="W77" s="1">
        <v>100</v>
      </c>
      <c r="X77" s="48">
        <f t="shared" si="19"/>
        <v>0.22662889518413595</v>
      </c>
      <c r="Y77" s="15"/>
    </row>
    <row r="78" spans="1:25" ht="20.25" customHeight="1">
      <c r="A78" s="64">
        <v>63</v>
      </c>
      <c r="B78" s="63" t="s">
        <v>161</v>
      </c>
      <c r="C78" s="6" t="s">
        <v>162</v>
      </c>
      <c r="D78" s="5" t="s">
        <v>53</v>
      </c>
      <c r="E78" s="74">
        <v>40</v>
      </c>
      <c r="F78" s="1">
        <v>22.5</v>
      </c>
      <c r="G78" s="1">
        <v>354</v>
      </c>
      <c r="H78" s="1">
        <v>354</v>
      </c>
      <c r="I78" s="1">
        <v>354</v>
      </c>
      <c r="J78" s="1">
        <v>354</v>
      </c>
      <c r="K78" s="1">
        <v>354</v>
      </c>
      <c r="L78" s="1">
        <v>354</v>
      </c>
      <c r="M78" s="1">
        <v>354</v>
      </c>
      <c r="N78" s="1">
        <v>354</v>
      </c>
      <c r="O78" s="1">
        <v>354</v>
      </c>
      <c r="P78" s="1">
        <v>354</v>
      </c>
      <c r="Q78" s="1">
        <v>404</v>
      </c>
      <c r="R78" s="1">
        <v>404</v>
      </c>
      <c r="S78" s="1">
        <v>404</v>
      </c>
      <c r="T78" s="1">
        <v>404</v>
      </c>
      <c r="U78" s="1">
        <v>404</v>
      </c>
      <c r="V78" s="1">
        <v>404</v>
      </c>
      <c r="W78" s="1">
        <v>404</v>
      </c>
      <c r="X78" s="48">
        <f t="shared" si="19"/>
        <v>0.91558073654390937</v>
      </c>
    </row>
    <row r="79" spans="1:25" ht="25.5">
      <c r="A79" s="64">
        <v>64</v>
      </c>
      <c r="B79" s="63" t="s">
        <v>353</v>
      </c>
      <c r="C79" s="63" t="s">
        <v>354</v>
      </c>
      <c r="D79" s="5">
        <v>2022</v>
      </c>
      <c r="E79" s="74">
        <v>768</v>
      </c>
      <c r="F79" s="1">
        <v>13.5</v>
      </c>
      <c r="G79" s="1" t="s">
        <v>7</v>
      </c>
      <c r="H79" s="1" t="s">
        <v>7</v>
      </c>
      <c r="I79" s="1" t="s">
        <v>7</v>
      </c>
      <c r="J79" s="1" t="s">
        <v>7</v>
      </c>
      <c r="K79" s="1" t="s">
        <v>7</v>
      </c>
      <c r="L79" s="1" t="s">
        <v>7</v>
      </c>
      <c r="M79" s="1" t="s">
        <v>7</v>
      </c>
      <c r="N79" s="1" t="s">
        <v>7</v>
      </c>
      <c r="O79" s="1" t="s">
        <v>7</v>
      </c>
      <c r="P79" s="1" t="s">
        <v>7</v>
      </c>
      <c r="Q79" s="1" t="s">
        <v>7</v>
      </c>
      <c r="R79" s="1" t="s">
        <v>7</v>
      </c>
      <c r="S79" s="1" t="s">
        <v>7</v>
      </c>
      <c r="T79" s="1" t="s">
        <v>7</v>
      </c>
      <c r="U79" s="1" t="s">
        <v>7</v>
      </c>
      <c r="V79" s="1">
        <v>768</v>
      </c>
      <c r="W79" s="1">
        <v>768</v>
      </c>
      <c r="X79" s="48">
        <f t="shared" si="19"/>
        <v>1.7405099150141643</v>
      </c>
    </row>
    <row r="80" spans="1:25" ht="20.25" customHeight="1">
      <c r="A80" s="64">
        <v>65</v>
      </c>
      <c r="B80" s="63" t="s">
        <v>163</v>
      </c>
      <c r="C80" s="6" t="s">
        <v>164</v>
      </c>
      <c r="D80" s="23" t="s">
        <v>54</v>
      </c>
      <c r="E80" s="74">
        <v>24</v>
      </c>
      <c r="F80" s="1">
        <v>40</v>
      </c>
      <c r="G80" s="1">
        <v>220</v>
      </c>
      <c r="H80" s="1">
        <v>220</v>
      </c>
      <c r="I80" s="1">
        <v>220</v>
      </c>
      <c r="J80" s="1">
        <v>220</v>
      </c>
      <c r="K80" s="1">
        <v>220</v>
      </c>
      <c r="L80" s="1">
        <v>220</v>
      </c>
      <c r="M80" s="1">
        <v>220</v>
      </c>
      <c r="N80" s="1">
        <v>220</v>
      </c>
      <c r="O80" s="1">
        <v>220</v>
      </c>
      <c r="P80" s="1">
        <v>220</v>
      </c>
      <c r="Q80" s="1">
        <v>226</v>
      </c>
      <c r="R80" s="1">
        <v>226</v>
      </c>
      <c r="S80" s="1">
        <v>226</v>
      </c>
      <c r="T80" s="1">
        <v>226</v>
      </c>
      <c r="U80" s="1">
        <v>226</v>
      </c>
      <c r="V80" s="1">
        <v>226</v>
      </c>
      <c r="W80" s="1">
        <v>226</v>
      </c>
      <c r="X80" s="48">
        <f t="shared" si="19"/>
        <v>0.51218130311614729</v>
      </c>
    </row>
    <row r="81" spans="1:24" s="15" customFormat="1" ht="20.25" customHeight="1">
      <c r="A81" s="64">
        <v>66</v>
      </c>
      <c r="B81" s="63" t="s">
        <v>338</v>
      </c>
      <c r="C81" s="6" t="s">
        <v>208</v>
      </c>
      <c r="D81" s="71">
        <v>1986</v>
      </c>
      <c r="E81" s="74">
        <v>32</v>
      </c>
      <c r="F81" s="1">
        <v>27</v>
      </c>
      <c r="G81" s="1">
        <v>138</v>
      </c>
      <c r="H81" s="1">
        <v>138</v>
      </c>
      <c r="I81" s="1">
        <v>138</v>
      </c>
      <c r="J81" s="1">
        <v>138</v>
      </c>
      <c r="K81" s="1">
        <v>138</v>
      </c>
      <c r="L81" s="1">
        <v>138</v>
      </c>
      <c r="M81" s="1">
        <v>138</v>
      </c>
      <c r="N81" s="1">
        <v>138</v>
      </c>
      <c r="O81" s="1">
        <v>138</v>
      </c>
      <c r="P81" s="1">
        <v>138</v>
      </c>
      <c r="Q81" s="1">
        <v>176</v>
      </c>
      <c r="R81" s="1">
        <v>176</v>
      </c>
      <c r="S81" s="1">
        <v>176</v>
      </c>
      <c r="T81" s="1">
        <v>176</v>
      </c>
      <c r="U81" s="1">
        <v>176</v>
      </c>
      <c r="V81" s="1">
        <v>176</v>
      </c>
      <c r="W81" s="1">
        <v>176</v>
      </c>
      <c r="X81" s="48">
        <f t="shared" si="19"/>
        <v>0.39886685552407936</v>
      </c>
    </row>
    <row r="82" spans="1:24" s="15" customFormat="1" ht="20.25" customHeight="1">
      <c r="A82" s="64">
        <v>67</v>
      </c>
      <c r="B82" s="63" t="s">
        <v>165</v>
      </c>
      <c r="C82" s="6" t="s">
        <v>166</v>
      </c>
      <c r="D82" s="62" t="s">
        <v>52</v>
      </c>
      <c r="E82" s="74">
        <v>20</v>
      </c>
      <c r="F82" s="1">
        <v>17</v>
      </c>
      <c r="G82" s="1">
        <v>90</v>
      </c>
      <c r="H82" s="1">
        <v>90</v>
      </c>
      <c r="I82" s="1">
        <v>90</v>
      </c>
      <c r="J82" s="1">
        <v>90</v>
      </c>
      <c r="K82" s="1">
        <v>90</v>
      </c>
      <c r="L82" s="1">
        <v>90</v>
      </c>
      <c r="M82" s="1">
        <v>90</v>
      </c>
      <c r="N82" s="1">
        <v>90</v>
      </c>
      <c r="O82" s="1">
        <v>90</v>
      </c>
      <c r="P82" s="1">
        <v>90</v>
      </c>
      <c r="Q82" s="1">
        <v>90</v>
      </c>
      <c r="R82" s="1">
        <v>90</v>
      </c>
      <c r="S82" s="1">
        <v>90</v>
      </c>
      <c r="T82" s="1">
        <v>90</v>
      </c>
      <c r="U82" s="1">
        <v>90</v>
      </c>
      <c r="V82" s="1">
        <v>90</v>
      </c>
      <c r="W82" s="1">
        <v>90</v>
      </c>
      <c r="X82" s="48">
        <f t="shared" si="19"/>
        <v>0.20396600566572237</v>
      </c>
    </row>
    <row r="83" spans="1:24" ht="20.25" customHeight="1">
      <c r="A83" s="64"/>
      <c r="B83" s="63" t="s">
        <v>55</v>
      </c>
      <c r="C83" s="6" t="s">
        <v>167</v>
      </c>
      <c r="D83" s="23" t="s">
        <v>56</v>
      </c>
      <c r="E83" s="74">
        <v>36</v>
      </c>
      <c r="F83" s="1">
        <v>32</v>
      </c>
      <c r="G83" s="1">
        <v>60</v>
      </c>
      <c r="H83" s="1">
        <v>60</v>
      </c>
      <c r="I83" s="1">
        <v>60</v>
      </c>
      <c r="J83" s="1">
        <v>60</v>
      </c>
      <c r="K83" s="1">
        <v>60</v>
      </c>
      <c r="L83" s="1">
        <v>60</v>
      </c>
      <c r="M83" s="1">
        <v>60</v>
      </c>
      <c r="N83" s="1">
        <v>60</v>
      </c>
      <c r="O83" s="1">
        <v>60</v>
      </c>
      <c r="P83" s="1">
        <v>60</v>
      </c>
      <c r="Q83" s="1">
        <v>60</v>
      </c>
      <c r="R83" s="1">
        <v>60</v>
      </c>
      <c r="S83" s="1">
        <v>60</v>
      </c>
      <c r="T83" s="1">
        <v>0</v>
      </c>
      <c r="U83" s="1">
        <v>0</v>
      </c>
      <c r="V83" s="1">
        <v>0</v>
      </c>
      <c r="W83" s="1">
        <v>0</v>
      </c>
      <c r="X83" s="48">
        <f t="shared" si="19"/>
        <v>0</v>
      </c>
    </row>
    <row r="84" spans="1:24" s="15" customFormat="1" ht="20.25" customHeight="1">
      <c r="A84" s="64">
        <v>68</v>
      </c>
      <c r="B84" s="63" t="s">
        <v>168</v>
      </c>
      <c r="C84" s="6" t="s">
        <v>169</v>
      </c>
      <c r="D84" s="23" t="s">
        <v>57</v>
      </c>
      <c r="E84" s="74">
        <v>220</v>
      </c>
      <c r="F84" s="1">
        <v>8</v>
      </c>
      <c r="G84" s="1">
        <v>450</v>
      </c>
      <c r="H84" s="1">
        <v>450</v>
      </c>
      <c r="I84" s="1">
        <v>450</v>
      </c>
      <c r="J84" s="1">
        <v>450</v>
      </c>
      <c r="K84" s="1">
        <v>450</v>
      </c>
      <c r="L84" s="1">
        <v>450</v>
      </c>
      <c r="M84" s="1">
        <v>450</v>
      </c>
      <c r="N84" s="1">
        <v>430</v>
      </c>
      <c r="O84" s="1">
        <v>430</v>
      </c>
      <c r="P84" s="1">
        <v>430</v>
      </c>
      <c r="Q84" s="1">
        <v>430</v>
      </c>
      <c r="R84" s="1">
        <v>430</v>
      </c>
      <c r="S84" s="1">
        <v>430</v>
      </c>
      <c r="T84" s="1">
        <v>430</v>
      </c>
      <c r="U84" s="1">
        <v>432</v>
      </c>
      <c r="V84" s="1">
        <v>432</v>
      </c>
      <c r="W84" s="1">
        <v>440</v>
      </c>
      <c r="X84" s="48">
        <f t="shared" si="19"/>
        <v>0.99716713881019825</v>
      </c>
    </row>
    <row r="85" spans="1:24" s="15" customFormat="1" ht="20.25" customHeight="1">
      <c r="A85" s="64">
        <v>69</v>
      </c>
      <c r="B85" s="63" t="s">
        <v>58</v>
      </c>
      <c r="C85" s="6" t="s">
        <v>170</v>
      </c>
      <c r="D85" s="5" t="s">
        <v>59</v>
      </c>
      <c r="E85" s="74">
        <v>24</v>
      </c>
      <c r="F85" s="1">
        <v>12</v>
      </c>
      <c r="G85" s="1">
        <v>96</v>
      </c>
      <c r="H85" s="1">
        <v>96</v>
      </c>
      <c r="I85" s="1">
        <v>96</v>
      </c>
      <c r="J85" s="1">
        <v>96</v>
      </c>
      <c r="K85" s="1">
        <v>96</v>
      </c>
      <c r="L85" s="1">
        <v>96</v>
      </c>
      <c r="M85" s="1">
        <v>96</v>
      </c>
      <c r="N85" s="1">
        <v>96</v>
      </c>
      <c r="O85" s="1">
        <v>96</v>
      </c>
      <c r="P85" s="1">
        <v>96</v>
      </c>
      <c r="Q85" s="1">
        <v>96</v>
      </c>
      <c r="R85" s="1">
        <v>96</v>
      </c>
      <c r="S85" s="1">
        <v>96</v>
      </c>
      <c r="T85" s="1">
        <v>96</v>
      </c>
      <c r="U85" s="1">
        <v>96</v>
      </c>
      <c r="V85" s="1">
        <v>96</v>
      </c>
      <c r="W85" s="1">
        <v>96</v>
      </c>
      <c r="X85" s="48">
        <f t="shared" si="19"/>
        <v>0.21756373937677054</v>
      </c>
    </row>
    <row r="86" spans="1:24" ht="20.25" customHeight="1">
      <c r="A86" s="64">
        <v>70</v>
      </c>
      <c r="B86" s="63" t="s">
        <v>171</v>
      </c>
      <c r="C86" s="6" t="s">
        <v>172</v>
      </c>
      <c r="D86" s="23" t="s">
        <v>60</v>
      </c>
      <c r="E86" s="74">
        <v>56</v>
      </c>
      <c r="F86" s="1">
        <v>16</v>
      </c>
      <c r="G86" s="1">
        <v>150</v>
      </c>
      <c r="H86" s="1">
        <v>150</v>
      </c>
      <c r="I86" s="1">
        <v>150</v>
      </c>
      <c r="J86" s="1">
        <v>150</v>
      </c>
      <c r="K86" s="1">
        <v>150</v>
      </c>
      <c r="L86" s="1">
        <v>150</v>
      </c>
      <c r="M86" s="1">
        <v>150</v>
      </c>
      <c r="N86" s="1">
        <v>150</v>
      </c>
      <c r="O86" s="1">
        <v>150</v>
      </c>
      <c r="P86" s="1">
        <v>150</v>
      </c>
      <c r="Q86" s="1">
        <v>150</v>
      </c>
      <c r="R86" s="1">
        <v>150</v>
      </c>
      <c r="S86" s="1">
        <v>150</v>
      </c>
      <c r="T86" s="1">
        <v>150</v>
      </c>
      <c r="U86" s="1">
        <v>150</v>
      </c>
      <c r="V86" s="1">
        <v>150</v>
      </c>
      <c r="W86" s="1">
        <v>150</v>
      </c>
      <c r="X86" s="48">
        <f t="shared" si="19"/>
        <v>0.33994334277620397</v>
      </c>
    </row>
    <row r="87" spans="1:24" s="15" customFormat="1" ht="20.25" customHeight="1">
      <c r="A87" s="64">
        <v>71</v>
      </c>
      <c r="B87" s="63" t="s">
        <v>173</v>
      </c>
      <c r="C87" s="6" t="s">
        <v>174</v>
      </c>
      <c r="D87" s="23" t="s">
        <v>61</v>
      </c>
      <c r="E87" s="74">
        <v>192</v>
      </c>
      <c r="F87" s="1">
        <v>18</v>
      </c>
      <c r="G87" s="1">
        <v>192</v>
      </c>
      <c r="H87" s="1">
        <v>192</v>
      </c>
      <c r="I87" s="1">
        <v>192</v>
      </c>
      <c r="J87" s="1">
        <v>192</v>
      </c>
      <c r="K87" s="1">
        <v>192</v>
      </c>
      <c r="L87" s="1">
        <v>192</v>
      </c>
      <c r="M87" s="1">
        <v>192</v>
      </c>
      <c r="N87" s="1">
        <v>192</v>
      </c>
      <c r="O87" s="1">
        <v>192</v>
      </c>
      <c r="P87" s="1">
        <v>192</v>
      </c>
      <c r="Q87" s="1">
        <v>192</v>
      </c>
      <c r="R87" s="1">
        <v>192</v>
      </c>
      <c r="S87" s="1">
        <v>192</v>
      </c>
      <c r="T87" s="1">
        <v>192</v>
      </c>
      <c r="U87" s="1">
        <v>192</v>
      </c>
      <c r="V87" s="1">
        <v>192</v>
      </c>
      <c r="W87" s="1">
        <v>192</v>
      </c>
      <c r="X87" s="48">
        <f t="shared" si="19"/>
        <v>0.43512747875354107</v>
      </c>
    </row>
    <row r="88" spans="1:24" s="15" customFormat="1" ht="20.25" customHeight="1">
      <c r="A88" s="64">
        <v>72</v>
      </c>
      <c r="B88" s="63" t="s">
        <v>320</v>
      </c>
      <c r="C88" s="6" t="s">
        <v>200</v>
      </c>
      <c r="D88" s="23" t="s">
        <v>61</v>
      </c>
      <c r="E88" s="74">
        <v>64</v>
      </c>
      <c r="F88" s="1">
        <v>12</v>
      </c>
      <c r="G88" s="1">
        <v>110</v>
      </c>
      <c r="H88" s="1">
        <v>110</v>
      </c>
      <c r="I88" s="1">
        <v>110</v>
      </c>
      <c r="J88" s="1">
        <v>110</v>
      </c>
      <c r="K88" s="1">
        <v>174</v>
      </c>
      <c r="L88" s="1">
        <v>178</v>
      </c>
      <c r="M88" s="1">
        <v>178</v>
      </c>
      <c r="N88" s="1">
        <v>178</v>
      </c>
      <c r="O88" s="1">
        <v>178</v>
      </c>
      <c r="P88" s="1">
        <v>178</v>
      </c>
      <c r="Q88" s="1">
        <v>196</v>
      </c>
      <c r="R88" s="1">
        <v>196</v>
      </c>
      <c r="S88" s="1">
        <v>196</v>
      </c>
      <c r="T88" s="1">
        <v>222</v>
      </c>
      <c r="U88" s="1">
        <v>224</v>
      </c>
      <c r="V88" s="1">
        <v>224</v>
      </c>
      <c r="W88" s="1">
        <v>224</v>
      </c>
      <c r="X88" s="48">
        <f t="shared" si="19"/>
        <v>0.50764872521246462</v>
      </c>
    </row>
    <row r="89" spans="1:24" s="15" customFormat="1" ht="20.25" customHeight="1">
      <c r="A89" s="64">
        <v>73</v>
      </c>
      <c r="B89" s="63" t="s">
        <v>175</v>
      </c>
      <c r="C89" s="6" t="s">
        <v>176</v>
      </c>
      <c r="D89" s="62" t="s">
        <v>54</v>
      </c>
      <c r="E89" s="74">
        <v>40</v>
      </c>
      <c r="F89" s="1">
        <v>11.3</v>
      </c>
      <c r="G89" s="1">
        <v>132</v>
      </c>
      <c r="H89" s="1">
        <v>132</v>
      </c>
      <c r="I89" s="1">
        <v>132</v>
      </c>
      <c r="J89" s="1">
        <v>132</v>
      </c>
      <c r="K89" s="1">
        <v>132</v>
      </c>
      <c r="L89" s="1">
        <v>132</v>
      </c>
      <c r="M89" s="1">
        <v>220</v>
      </c>
      <c r="N89" s="1">
        <v>220</v>
      </c>
      <c r="O89" s="1">
        <v>220</v>
      </c>
      <c r="P89" s="1">
        <v>220</v>
      </c>
      <c r="Q89" s="1">
        <v>280</v>
      </c>
      <c r="R89" s="1">
        <v>280</v>
      </c>
      <c r="S89" s="1">
        <v>280</v>
      </c>
      <c r="T89" s="1">
        <v>280</v>
      </c>
      <c r="U89" s="1">
        <v>280</v>
      </c>
      <c r="V89" s="1">
        <v>280</v>
      </c>
      <c r="W89" s="1">
        <v>280</v>
      </c>
      <c r="X89" s="48">
        <f t="shared" si="19"/>
        <v>0.63456090651558072</v>
      </c>
    </row>
    <row r="90" spans="1:24" s="15" customFormat="1" ht="20.25" customHeight="1">
      <c r="A90" s="64">
        <v>74</v>
      </c>
      <c r="B90" s="63" t="s">
        <v>62</v>
      </c>
      <c r="C90" s="6" t="s">
        <v>177</v>
      </c>
      <c r="D90" s="5" t="s">
        <v>56</v>
      </c>
      <c r="E90" s="74">
        <v>20</v>
      </c>
      <c r="F90" s="1">
        <v>13</v>
      </c>
      <c r="G90" s="1">
        <v>292</v>
      </c>
      <c r="H90" s="1">
        <v>292</v>
      </c>
      <c r="I90" s="1">
        <v>296</v>
      </c>
      <c r="J90" s="1">
        <v>296</v>
      </c>
      <c r="K90" s="1">
        <v>296</v>
      </c>
      <c r="L90" s="1">
        <v>296</v>
      </c>
      <c r="M90" s="1">
        <v>296</v>
      </c>
      <c r="N90" s="1">
        <v>296</v>
      </c>
      <c r="O90" s="1">
        <v>296</v>
      </c>
      <c r="P90" s="1">
        <v>296</v>
      </c>
      <c r="Q90" s="1">
        <v>296</v>
      </c>
      <c r="R90" s="1">
        <v>296</v>
      </c>
      <c r="S90" s="1">
        <v>296</v>
      </c>
      <c r="T90" s="1">
        <v>296</v>
      </c>
      <c r="U90" s="1">
        <v>304</v>
      </c>
      <c r="V90" s="1">
        <v>304</v>
      </c>
      <c r="W90" s="1">
        <v>304</v>
      </c>
      <c r="X90" s="48">
        <f t="shared" si="19"/>
        <v>0.68895184135977339</v>
      </c>
    </row>
    <row r="91" spans="1:24" s="15" customFormat="1" ht="20.25" customHeight="1">
      <c r="A91" s="64">
        <v>75</v>
      </c>
      <c r="B91" s="63" t="s">
        <v>178</v>
      </c>
      <c r="C91" s="6" t="s">
        <v>179</v>
      </c>
      <c r="D91" s="62" t="s">
        <v>54</v>
      </c>
      <c r="E91" s="74">
        <v>18</v>
      </c>
      <c r="F91" s="1">
        <v>23</v>
      </c>
      <c r="G91" s="1">
        <v>80</v>
      </c>
      <c r="H91" s="1">
        <v>80</v>
      </c>
      <c r="I91" s="1">
        <v>80</v>
      </c>
      <c r="J91" s="1">
        <v>80</v>
      </c>
      <c r="K91" s="1">
        <v>80</v>
      </c>
      <c r="L91" s="1">
        <v>80</v>
      </c>
      <c r="M91" s="1">
        <v>80</v>
      </c>
      <c r="N91" s="1">
        <v>104</v>
      </c>
      <c r="O91" s="1">
        <v>104</v>
      </c>
      <c r="P91" s="1">
        <v>104</v>
      </c>
      <c r="Q91" s="1">
        <v>104</v>
      </c>
      <c r="R91" s="1">
        <v>104</v>
      </c>
      <c r="S91" s="1">
        <v>104</v>
      </c>
      <c r="T91" s="1">
        <v>104</v>
      </c>
      <c r="U91" s="1">
        <v>104</v>
      </c>
      <c r="V91" s="1">
        <v>104</v>
      </c>
      <c r="W91" s="1">
        <v>104</v>
      </c>
      <c r="X91" s="48">
        <f t="shared" si="19"/>
        <v>0.23569405099150142</v>
      </c>
    </row>
    <row r="92" spans="1:24" s="15" customFormat="1" ht="20.25" customHeight="1">
      <c r="A92" s="64">
        <v>76</v>
      </c>
      <c r="B92" s="63" t="s">
        <v>63</v>
      </c>
      <c r="C92" s="6" t="s">
        <v>180</v>
      </c>
      <c r="D92" s="62" t="s">
        <v>52</v>
      </c>
      <c r="E92" s="74">
        <v>18</v>
      </c>
      <c r="F92" s="1">
        <v>19.3</v>
      </c>
      <c r="G92" s="1">
        <v>444</v>
      </c>
      <c r="H92" s="1">
        <v>444</v>
      </c>
      <c r="I92" s="1">
        <v>444</v>
      </c>
      <c r="J92" s="1">
        <v>456</v>
      </c>
      <c r="K92" s="1">
        <v>448</v>
      </c>
      <c r="L92" s="1">
        <v>448</v>
      </c>
      <c r="M92" s="1">
        <v>492</v>
      </c>
      <c r="N92" s="1">
        <v>492</v>
      </c>
      <c r="O92" s="1">
        <v>492</v>
      </c>
      <c r="P92" s="1">
        <v>492</v>
      </c>
      <c r="Q92" s="1">
        <v>492</v>
      </c>
      <c r="R92" s="1">
        <v>544</v>
      </c>
      <c r="S92" s="1">
        <v>544</v>
      </c>
      <c r="T92" s="1">
        <v>544</v>
      </c>
      <c r="U92" s="1">
        <v>544</v>
      </c>
      <c r="V92" s="1">
        <v>544</v>
      </c>
      <c r="W92" s="1">
        <v>544</v>
      </c>
      <c r="X92" s="48">
        <f t="shared" si="19"/>
        <v>1.2328611898016997</v>
      </c>
    </row>
    <row r="93" spans="1:24" s="15" customFormat="1" ht="20.25" customHeight="1">
      <c r="A93" s="64">
        <v>77</v>
      </c>
      <c r="B93" s="63" t="s">
        <v>355</v>
      </c>
      <c r="C93" s="6" t="s">
        <v>181</v>
      </c>
      <c r="D93" s="23" t="s">
        <v>53</v>
      </c>
      <c r="E93" s="74">
        <v>50</v>
      </c>
      <c r="F93" s="1">
        <v>29</v>
      </c>
      <c r="G93" s="1">
        <v>206</v>
      </c>
      <c r="H93" s="1">
        <v>206</v>
      </c>
      <c r="I93" s="1">
        <v>206</v>
      </c>
      <c r="J93" s="1">
        <v>206</v>
      </c>
      <c r="K93" s="1">
        <v>206</v>
      </c>
      <c r="L93" s="1">
        <v>206</v>
      </c>
      <c r="M93" s="1">
        <v>206</v>
      </c>
      <c r="N93" s="1">
        <v>206</v>
      </c>
      <c r="O93" s="1">
        <v>206</v>
      </c>
      <c r="P93" s="1">
        <v>206</v>
      </c>
      <c r="Q93" s="1">
        <v>200</v>
      </c>
      <c r="R93" s="1">
        <v>200</v>
      </c>
      <c r="S93" s="1">
        <v>200</v>
      </c>
      <c r="T93" s="1">
        <v>200</v>
      </c>
      <c r="U93" s="1">
        <v>200</v>
      </c>
      <c r="V93" s="1">
        <v>200</v>
      </c>
      <c r="W93" s="1">
        <v>200</v>
      </c>
      <c r="X93" s="48">
        <f t="shared" si="19"/>
        <v>0.45325779036827191</v>
      </c>
    </row>
    <row r="94" spans="1:24" s="15" customFormat="1" ht="20.25" customHeight="1">
      <c r="A94" s="64"/>
      <c r="B94" s="63" t="s">
        <v>64</v>
      </c>
      <c r="C94" s="6" t="s">
        <v>182</v>
      </c>
      <c r="D94" s="62" t="s">
        <v>65</v>
      </c>
      <c r="E94" s="74">
        <v>12</v>
      </c>
      <c r="F94" s="1">
        <v>27.4</v>
      </c>
      <c r="G94" s="1">
        <v>14</v>
      </c>
      <c r="H94" s="1">
        <v>14</v>
      </c>
      <c r="I94" s="1">
        <v>14</v>
      </c>
      <c r="J94" s="1">
        <v>14</v>
      </c>
      <c r="K94" s="1">
        <v>14</v>
      </c>
      <c r="L94" s="1">
        <v>14</v>
      </c>
      <c r="M94" s="1">
        <v>14</v>
      </c>
      <c r="N94" s="1">
        <v>14</v>
      </c>
      <c r="O94" s="1">
        <v>14</v>
      </c>
      <c r="P94" s="1">
        <v>14</v>
      </c>
      <c r="Q94" s="1">
        <v>14</v>
      </c>
      <c r="R94" s="1">
        <v>14</v>
      </c>
      <c r="S94" s="1">
        <v>14</v>
      </c>
      <c r="T94" s="1">
        <v>0</v>
      </c>
      <c r="U94" s="1">
        <v>0</v>
      </c>
      <c r="V94" s="1">
        <v>0</v>
      </c>
      <c r="W94" s="1">
        <v>0</v>
      </c>
      <c r="X94" s="48">
        <f t="shared" si="19"/>
        <v>0</v>
      </c>
    </row>
    <row r="95" spans="1:24" s="15" customFormat="1" ht="20.25" customHeight="1">
      <c r="A95" s="64">
        <v>78</v>
      </c>
      <c r="B95" s="63" t="s">
        <v>66</v>
      </c>
      <c r="C95" s="6" t="s">
        <v>183</v>
      </c>
      <c r="D95" s="23">
        <v>1981</v>
      </c>
      <c r="E95" s="74">
        <v>12</v>
      </c>
      <c r="F95" s="1">
        <v>30</v>
      </c>
      <c r="G95" s="1">
        <v>70</v>
      </c>
      <c r="H95" s="1">
        <v>70</v>
      </c>
      <c r="I95" s="1">
        <v>70</v>
      </c>
      <c r="J95" s="1">
        <v>70</v>
      </c>
      <c r="K95" s="1">
        <v>70</v>
      </c>
      <c r="L95" s="1">
        <v>70</v>
      </c>
      <c r="M95" s="1">
        <v>70</v>
      </c>
      <c r="N95" s="1">
        <v>70</v>
      </c>
      <c r="O95" s="1">
        <v>70</v>
      </c>
      <c r="P95" s="1">
        <v>70</v>
      </c>
      <c r="Q95" s="1">
        <v>70</v>
      </c>
      <c r="R95" s="1">
        <v>70</v>
      </c>
      <c r="S95" s="1">
        <v>70</v>
      </c>
      <c r="T95" s="1">
        <v>66</v>
      </c>
      <c r="U95" s="1">
        <v>66</v>
      </c>
      <c r="V95" s="1">
        <v>66</v>
      </c>
      <c r="W95" s="1">
        <v>66</v>
      </c>
      <c r="X95" s="48">
        <f t="shared" si="19"/>
        <v>0.14957507082152974</v>
      </c>
    </row>
    <row r="96" spans="1:24" ht="20.25" customHeight="1">
      <c r="A96" s="64"/>
      <c r="B96" s="63" t="s">
        <v>67</v>
      </c>
      <c r="C96" s="6" t="s">
        <v>184</v>
      </c>
      <c r="D96" s="5" t="s">
        <v>56</v>
      </c>
      <c r="E96" s="74">
        <v>120</v>
      </c>
      <c r="F96" s="1">
        <v>29</v>
      </c>
      <c r="G96" s="1">
        <v>120</v>
      </c>
      <c r="H96" s="1">
        <v>120</v>
      </c>
      <c r="I96" s="1">
        <v>120</v>
      </c>
      <c r="J96" s="1">
        <v>120</v>
      </c>
      <c r="K96" s="1">
        <v>120</v>
      </c>
      <c r="L96" s="1">
        <v>120</v>
      </c>
      <c r="M96" s="1">
        <v>120</v>
      </c>
      <c r="N96" s="1">
        <v>120</v>
      </c>
      <c r="O96" s="1">
        <v>120</v>
      </c>
      <c r="P96" s="1">
        <v>120</v>
      </c>
      <c r="Q96" s="1">
        <v>120</v>
      </c>
      <c r="R96" s="1">
        <v>120</v>
      </c>
      <c r="S96" s="1">
        <v>120</v>
      </c>
      <c r="T96" s="1">
        <v>0</v>
      </c>
      <c r="U96" s="1">
        <v>0</v>
      </c>
      <c r="V96" s="1">
        <v>0</v>
      </c>
      <c r="W96" s="1">
        <v>0</v>
      </c>
      <c r="X96" s="48">
        <f t="shared" si="19"/>
        <v>0</v>
      </c>
    </row>
    <row r="97" spans="1:24" s="15" customFormat="1" ht="20.25" customHeight="1">
      <c r="A97" s="64">
        <v>79</v>
      </c>
      <c r="B97" s="63" t="s">
        <v>185</v>
      </c>
      <c r="C97" s="6" t="s">
        <v>186</v>
      </c>
      <c r="D97" s="62" t="s">
        <v>53</v>
      </c>
      <c r="E97" s="74">
        <v>44</v>
      </c>
      <c r="F97" s="1">
        <v>8</v>
      </c>
      <c r="G97" s="1">
        <v>236</v>
      </c>
      <c r="H97" s="1">
        <v>236</v>
      </c>
      <c r="I97" s="1">
        <v>236</v>
      </c>
      <c r="J97" s="1">
        <v>236</v>
      </c>
      <c r="K97" s="1">
        <v>236</v>
      </c>
      <c r="L97" s="1">
        <v>236</v>
      </c>
      <c r="M97" s="1">
        <v>236</v>
      </c>
      <c r="N97" s="1">
        <v>236</v>
      </c>
      <c r="O97" s="1">
        <v>236</v>
      </c>
      <c r="P97" s="1">
        <v>236</v>
      </c>
      <c r="Q97" s="1">
        <v>236</v>
      </c>
      <c r="R97" s="1">
        <v>236</v>
      </c>
      <c r="S97" s="1">
        <v>236</v>
      </c>
      <c r="T97" s="1">
        <v>236</v>
      </c>
      <c r="U97" s="1">
        <v>236</v>
      </c>
      <c r="V97" s="1">
        <v>236</v>
      </c>
      <c r="W97" s="1">
        <v>236</v>
      </c>
      <c r="X97" s="48">
        <f t="shared" si="19"/>
        <v>0.53484419263456096</v>
      </c>
    </row>
    <row r="98" spans="1:24" s="15" customFormat="1" ht="20.25" customHeight="1">
      <c r="A98" s="64">
        <v>80</v>
      </c>
      <c r="B98" s="63" t="s">
        <v>187</v>
      </c>
      <c r="C98" s="6" t="s">
        <v>188</v>
      </c>
      <c r="D98" s="62" t="s">
        <v>61</v>
      </c>
      <c r="E98" s="74">
        <v>40</v>
      </c>
      <c r="F98" s="1">
        <v>40</v>
      </c>
      <c r="G98" s="1">
        <v>114</v>
      </c>
      <c r="H98" s="1">
        <v>114</v>
      </c>
      <c r="I98" s="1">
        <v>114</v>
      </c>
      <c r="J98" s="1">
        <v>114</v>
      </c>
      <c r="K98" s="1">
        <v>114</v>
      </c>
      <c r="L98" s="1">
        <v>114</v>
      </c>
      <c r="M98" s="1">
        <v>114</v>
      </c>
      <c r="N98" s="1">
        <v>114</v>
      </c>
      <c r="O98" s="1">
        <v>114</v>
      </c>
      <c r="P98" s="1">
        <v>152</v>
      </c>
      <c r="Q98" s="1">
        <v>152</v>
      </c>
      <c r="R98" s="1">
        <v>152</v>
      </c>
      <c r="S98" s="1">
        <v>152</v>
      </c>
      <c r="T98" s="1">
        <v>152</v>
      </c>
      <c r="U98" s="1">
        <v>152</v>
      </c>
      <c r="V98" s="1">
        <v>152</v>
      </c>
      <c r="W98" s="1">
        <v>152</v>
      </c>
      <c r="X98" s="48">
        <f t="shared" si="19"/>
        <v>0.34447592067988669</v>
      </c>
    </row>
    <row r="99" spans="1:24" s="15" customFormat="1" ht="20.25" customHeight="1">
      <c r="A99" s="64">
        <v>81</v>
      </c>
      <c r="B99" s="63" t="s">
        <v>189</v>
      </c>
      <c r="C99" s="6" t="s">
        <v>190</v>
      </c>
      <c r="D99" s="62" t="s">
        <v>56</v>
      </c>
      <c r="E99" s="74">
        <v>90</v>
      </c>
      <c r="F99" s="1">
        <v>28</v>
      </c>
      <c r="G99" s="1">
        <v>300</v>
      </c>
      <c r="H99" s="1">
        <v>300</v>
      </c>
      <c r="I99" s="1">
        <v>300</v>
      </c>
      <c r="J99" s="1">
        <v>300</v>
      </c>
      <c r="K99" s="1">
        <v>300</v>
      </c>
      <c r="L99" s="1">
        <v>300</v>
      </c>
      <c r="M99" s="1">
        <v>300</v>
      </c>
      <c r="N99" s="1">
        <v>300</v>
      </c>
      <c r="O99" s="1">
        <v>300</v>
      </c>
      <c r="P99" s="1">
        <v>300</v>
      </c>
      <c r="Q99" s="1">
        <v>300</v>
      </c>
      <c r="R99" s="1">
        <v>300</v>
      </c>
      <c r="S99" s="1">
        <v>300</v>
      </c>
      <c r="T99" s="1">
        <v>300</v>
      </c>
      <c r="U99" s="1">
        <v>300</v>
      </c>
      <c r="V99" s="1">
        <v>300</v>
      </c>
      <c r="W99" s="1">
        <v>300</v>
      </c>
      <c r="X99" s="48">
        <f t="shared" si="19"/>
        <v>0.67988668555240794</v>
      </c>
    </row>
    <row r="100" spans="1:24" s="15" customFormat="1" ht="20.25" customHeight="1">
      <c r="A100" s="64">
        <v>82</v>
      </c>
      <c r="B100" s="63" t="s">
        <v>68</v>
      </c>
      <c r="C100" s="6" t="s">
        <v>191</v>
      </c>
      <c r="D100" s="62" t="s">
        <v>69</v>
      </c>
      <c r="E100" s="74">
        <v>32</v>
      </c>
      <c r="F100" s="1">
        <v>12.9</v>
      </c>
      <c r="G100" s="1">
        <v>212</v>
      </c>
      <c r="H100" s="1">
        <v>212</v>
      </c>
      <c r="I100" s="1">
        <v>212</v>
      </c>
      <c r="J100" s="1">
        <v>212</v>
      </c>
      <c r="K100" s="1">
        <v>212</v>
      </c>
      <c r="L100" s="1">
        <v>212</v>
      </c>
      <c r="M100" s="1">
        <v>212</v>
      </c>
      <c r="N100" s="1">
        <v>212</v>
      </c>
      <c r="O100" s="1">
        <v>212</v>
      </c>
      <c r="P100" s="1">
        <v>212</v>
      </c>
      <c r="Q100" s="1">
        <v>220</v>
      </c>
      <c r="R100" s="1">
        <v>220</v>
      </c>
      <c r="S100" s="1">
        <v>220</v>
      </c>
      <c r="T100" s="1">
        <v>220</v>
      </c>
      <c r="U100" s="1">
        <v>220</v>
      </c>
      <c r="V100" s="1">
        <v>224</v>
      </c>
      <c r="W100" s="1">
        <v>224</v>
      </c>
      <c r="X100" s="48">
        <f t="shared" si="19"/>
        <v>0.50764872521246462</v>
      </c>
    </row>
    <row r="101" spans="1:24" s="15" customFormat="1" ht="20.25" customHeight="1">
      <c r="A101" s="64">
        <v>83</v>
      </c>
      <c r="B101" s="63" t="s">
        <v>70</v>
      </c>
      <c r="C101" s="6" t="s">
        <v>192</v>
      </c>
      <c r="D101" s="62" t="s">
        <v>54</v>
      </c>
      <c r="E101" s="74">
        <v>44</v>
      </c>
      <c r="F101" s="1">
        <v>38</v>
      </c>
      <c r="G101" s="1">
        <v>200</v>
      </c>
      <c r="H101" s="1">
        <v>200</v>
      </c>
      <c r="I101" s="1">
        <v>200</v>
      </c>
      <c r="J101" s="1">
        <v>200</v>
      </c>
      <c r="K101" s="1">
        <v>200</v>
      </c>
      <c r="L101" s="1">
        <v>200</v>
      </c>
      <c r="M101" s="1">
        <v>200</v>
      </c>
      <c r="N101" s="1">
        <v>200</v>
      </c>
      <c r="O101" s="1">
        <v>200</v>
      </c>
      <c r="P101" s="1">
        <v>200</v>
      </c>
      <c r="Q101" s="1">
        <v>150</v>
      </c>
      <c r="R101" s="1">
        <v>150</v>
      </c>
      <c r="S101" s="1">
        <v>150</v>
      </c>
      <c r="T101" s="1">
        <v>150</v>
      </c>
      <c r="U101" s="1">
        <v>150</v>
      </c>
      <c r="V101" s="1">
        <v>150</v>
      </c>
      <c r="W101" s="1">
        <v>150</v>
      </c>
      <c r="X101" s="48">
        <f t="shared" si="19"/>
        <v>0.33994334277620397</v>
      </c>
    </row>
    <row r="102" spans="1:24" ht="20.25" customHeight="1">
      <c r="A102" s="64">
        <v>84</v>
      </c>
      <c r="B102" s="63" t="s">
        <v>77</v>
      </c>
      <c r="C102" s="6" t="s">
        <v>193</v>
      </c>
      <c r="D102" s="62" t="s">
        <v>54</v>
      </c>
      <c r="E102" s="74">
        <v>12</v>
      </c>
      <c r="F102" s="1">
        <v>9.6999999999999993</v>
      </c>
      <c r="G102" s="1">
        <v>94</v>
      </c>
      <c r="H102" s="1">
        <v>94</v>
      </c>
      <c r="I102" s="1">
        <v>94</v>
      </c>
      <c r="J102" s="1">
        <v>94</v>
      </c>
      <c r="K102" s="1">
        <v>94</v>
      </c>
      <c r="L102" s="1">
        <v>94</v>
      </c>
      <c r="M102" s="1">
        <v>94</v>
      </c>
      <c r="N102" s="1">
        <v>94</v>
      </c>
      <c r="O102" s="1">
        <v>94</v>
      </c>
      <c r="P102" s="1">
        <v>94</v>
      </c>
      <c r="Q102" s="1">
        <v>94</v>
      </c>
      <c r="R102" s="1">
        <v>94</v>
      </c>
      <c r="S102" s="1">
        <v>94</v>
      </c>
      <c r="T102" s="1">
        <v>94</v>
      </c>
      <c r="U102" s="1">
        <v>94</v>
      </c>
      <c r="V102" s="1">
        <v>98</v>
      </c>
      <c r="W102" s="1">
        <v>98</v>
      </c>
      <c r="X102" s="48">
        <f t="shared" si="19"/>
        <v>0.22209631728045326</v>
      </c>
    </row>
    <row r="103" spans="1:24" s="15" customFormat="1" ht="20.25" customHeight="1">
      <c r="A103" s="64">
        <v>85</v>
      </c>
      <c r="B103" s="63" t="s">
        <v>194</v>
      </c>
      <c r="C103" s="6" t="s">
        <v>195</v>
      </c>
      <c r="D103" s="62" t="s">
        <v>4</v>
      </c>
      <c r="E103" s="1">
        <v>250</v>
      </c>
      <c r="F103" s="1">
        <v>18.3</v>
      </c>
      <c r="G103" s="1" t="s">
        <v>7</v>
      </c>
      <c r="H103" s="1" t="s">
        <v>7</v>
      </c>
      <c r="I103" s="1" t="s">
        <v>7</v>
      </c>
      <c r="J103" s="1" t="s">
        <v>7</v>
      </c>
      <c r="K103" s="1" t="s">
        <v>7</v>
      </c>
      <c r="L103" s="1" t="s">
        <v>7</v>
      </c>
      <c r="M103" s="1" t="s">
        <v>7</v>
      </c>
      <c r="N103" s="1" t="s">
        <v>7</v>
      </c>
      <c r="O103" s="1" t="s">
        <v>7</v>
      </c>
      <c r="P103" s="5" t="s">
        <v>7</v>
      </c>
      <c r="Q103" s="1">
        <v>250</v>
      </c>
      <c r="R103" s="1">
        <v>250</v>
      </c>
      <c r="S103" s="1">
        <v>250</v>
      </c>
      <c r="T103" s="1">
        <v>250</v>
      </c>
      <c r="U103" s="1">
        <v>250</v>
      </c>
      <c r="V103" s="1">
        <v>250</v>
      </c>
      <c r="W103" s="1">
        <v>250</v>
      </c>
      <c r="X103" s="48">
        <f t="shared" si="19"/>
        <v>0.56657223796033995</v>
      </c>
    </row>
    <row r="104" spans="1:24" s="15" customFormat="1" ht="20.25" customHeight="1">
      <c r="A104" s="64">
        <v>86</v>
      </c>
      <c r="B104" s="63" t="s">
        <v>196</v>
      </c>
      <c r="C104" s="63" t="s">
        <v>224</v>
      </c>
      <c r="D104" s="62" t="s">
        <v>114</v>
      </c>
      <c r="E104" s="1">
        <v>394</v>
      </c>
      <c r="F104" s="1">
        <v>4.2</v>
      </c>
      <c r="G104" s="1" t="s">
        <v>7</v>
      </c>
      <c r="H104" s="1" t="s">
        <v>7</v>
      </c>
      <c r="I104" s="1" t="s">
        <v>7</v>
      </c>
      <c r="J104" s="1" t="s">
        <v>7</v>
      </c>
      <c r="K104" s="1" t="s">
        <v>7</v>
      </c>
      <c r="L104" s="1" t="s">
        <v>7</v>
      </c>
      <c r="M104" s="1" t="s">
        <v>7</v>
      </c>
      <c r="N104" s="1" t="s">
        <v>7</v>
      </c>
      <c r="O104" s="1" t="s">
        <v>7</v>
      </c>
      <c r="P104" s="5" t="s">
        <v>7</v>
      </c>
      <c r="Q104" s="5" t="s">
        <v>7</v>
      </c>
      <c r="R104" s="5" t="s">
        <v>7</v>
      </c>
      <c r="S104" s="1">
        <v>394</v>
      </c>
      <c r="T104" s="1">
        <v>396</v>
      </c>
      <c r="U104" s="1">
        <v>396</v>
      </c>
      <c r="V104" s="1">
        <v>396</v>
      </c>
      <c r="W104" s="1">
        <v>396</v>
      </c>
      <c r="X104" s="48">
        <f t="shared" si="19"/>
        <v>0.89745042492917848</v>
      </c>
    </row>
    <row r="105" spans="1:24" s="15" customFormat="1" ht="20.25" customHeight="1">
      <c r="A105" s="64">
        <v>87</v>
      </c>
      <c r="B105" s="63" t="s">
        <v>356</v>
      </c>
      <c r="C105" s="63" t="s">
        <v>357</v>
      </c>
      <c r="D105" s="23" t="s">
        <v>346</v>
      </c>
      <c r="E105" s="1">
        <v>238</v>
      </c>
      <c r="F105" s="1">
        <v>19</v>
      </c>
      <c r="G105" s="1" t="s">
        <v>7</v>
      </c>
      <c r="H105" s="1" t="s">
        <v>7</v>
      </c>
      <c r="I105" s="1" t="s">
        <v>7</v>
      </c>
      <c r="J105" s="1" t="s">
        <v>7</v>
      </c>
      <c r="K105" s="1" t="s">
        <v>7</v>
      </c>
      <c r="L105" s="1" t="s">
        <v>7</v>
      </c>
      <c r="M105" s="1" t="s">
        <v>7</v>
      </c>
      <c r="N105" s="1" t="s">
        <v>7</v>
      </c>
      <c r="O105" s="1" t="s">
        <v>7</v>
      </c>
      <c r="P105" s="1" t="s">
        <v>7</v>
      </c>
      <c r="Q105" s="1" t="s">
        <v>7</v>
      </c>
      <c r="R105" s="1" t="s">
        <v>7</v>
      </c>
      <c r="S105" s="1" t="s">
        <v>7</v>
      </c>
      <c r="T105" s="1" t="s">
        <v>7</v>
      </c>
      <c r="U105" s="1" t="s">
        <v>7</v>
      </c>
      <c r="V105" s="1">
        <v>238</v>
      </c>
      <c r="W105" s="1">
        <v>252</v>
      </c>
      <c r="X105" s="48">
        <f t="shared" si="19"/>
        <v>0.57110481586402262</v>
      </c>
    </row>
    <row r="106" spans="1:24" s="15" customFormat="1" ht="20.25" customHeight="1">
      <c r="A106" s="64">
        <v>88</v>
      </c>
      <c r="B106" s="63" t="s">
        <v>197</v>
      </c>
      <c r="C106" s="6" t="s">
        <v>198</v>
      </c>
      <c r="D106" s="62" t="s">
        <v>71</v>
      </c>
      <c r="E106" s="74">
        <v>98</v>
      </c>
      <c r="F106" s="1">
        <v>27.4</v>
      </c>
      <c r="G106" s="1">
        <v>204</v>
      </c>
      <c r="H106" s="1">
        <v>322</v>
      </c>
      <c r="I106" s="1">
        <v>322</v>
      </c>
      <c r="J106" s="1">
        <v>322</v>
      </c>
      <c r="K106" s="1">
        <v>322</v>
      </c>
      <c r="L106" s="1">
        <v>322</v>
      </c>
      <c r="M106" s="1">
        <v>322</v>
      </c>
      <c r="N106" s="1">
        <v>322</v>
      </c>
      <c r="O106" s="1">
        <v>322</v>
      </c>
      <c r="P106" s="1">
        <v>322</v>
      </c>
      <c r="Q106" s="1">
        <v>322</v>
      </c>
      <c r="R106" s="1">
        <v>322</v>
      </c>
      <c r="S106" s="1">
        <v>322</v>
      </c>
      <c r="T106" s="1">
        <v>322</v>
      </c>
      <c r="U106" s="1">
        <v>322</v>
      </c>
      <c r="V106" s="1">
        <v>322</v>
      </c>
      <c r="W106" s="1">
        <v>322</v>
      </c>
      <c r="X106" s="48">
        <f t="shared" si="19"/>
        <v>0.72974504249291783</v>
      </c>
    </row>
    <row r="107" spans="1:24" s="15" customFormat="1" ht="20.25" customHeight="1">
      <c r="A107" s="64">
        <v>89</v>
      </c>
      <c r="B107" s="63" t="s">
        <v>72</v>
      </c>
      <c r="C107" s="6" t="s">
        <v>199</v>
      </c>
      <c r="D107" s="5" t="s">
        <v>53</v>
      </c>
      <c r="E107" s="74">
        <v>80</v>
      </c>
      <c r="F107" s="1">
        <v>25.7</v>
      </c>
      <c r="G107" s="1">
        <v>102</v>
      </c>
      <c r="H107" s="1">
        <v>102</v>
      </c>
      <c r="I107" s="1">
        <v>102</v>
      </c>
      <c r="J107" s="1">
        <v>102</v>
      </c>
      <c r="K107" s="1">
        <v>102</v>
      </c>
      <c r="L107" s="1">
        <v>102</v>
      </c>
      <c r="M107" s="1">
        <v>102</v>
      </c>
      <c r="N107" s="1">
        <v>102</v>
      </c>
      <c r="O107" s="1">
        <v>102</v>
      </c>
      <c r="P107" s="1">
        <v>102</v>
      </c>
      <c r="Q107" s="1">
        <v>98</v>
      </c>
      <c r="R107" s="1">
        <v>98</v>
      </c>
      <c r="S107" s="1">
        <v>98</v>
      </c>
      <c r="T107" s="1">
        <v>98</v>
      </c>
      <c r="U107" s="1">
        <v>98</v>
      </c>
      <c r="V107" s="1">
        <v>98</v>
      </c>
      <c r="W107" s="1">
        <v>98</v>
      </c>
      <c r="X107" s="48">
        <f t="shared" si="19"/>
        <v>0.22209631728045326</v>
      </c>
    </row>
    <row r="108" spans="1:24" s="15" customFormat="1" ht="20.25" customHeight="1">
      <c r="A108" s="64">
        <v>90</v>
      </c>
      <c r="B108" s="63" t="s">
        <v>376</v>
      </c>
      <c r="C108" s="6" t="s">
        <v>378</v>
      </c>
      <c r="D108" s="62">
        <v>2023</v>
      </c>
      <c r="E108" s="74">
        <v>306</v>
      </c>
      <c r="F108" s="1">
        <v>39.6</v>
      </c>
      <c r="G108" s="1" t="s">
        <v>7</v>
      </c>
      <c r="H108" s="1" t="s">
        <v>7</v>
      </c>
      <c r="I108" s="1" t="s">
        <v>7</v>
      </c>
      <c r="J108" s="1" t="s">
        <v>7</v>
      </c>
      <c r="K108" s="1" t="s">
        <v>7</v>
      </c>
      <c r="L108" s="1" t="s">
        <v>7</v>
      </c>
      <c r="M108" s="1" t="s">
        <v>7</v>
      </c>
      <c r="N108" s="1" t="s">
        <v>7</v>
      </c>
      <c r="O108" s="1" t="s">
        <v>7</v>
      </c>
      <c r="P108" s="1" t="s">
        <v>7</v>
      </c>
      <c r="Q108" s="1" t="s">
        <v>7</v>
      </c>
      <c r="R108" s="1" t="s">
        <v>7</v>
      </c>
      <c r="S108" s="1" t="s">
        <v>7</v>
      </c>
      <c r="T108" s="1" t="s">
        <v>7</v>
      </c>
      <c r="U108" s="1" t="s">
        <v>7</v>
      </c>
      <c r="V108" s="1" t="s">
        <v>7</v>
      </c>
      <c r="W108" s="1">
        <v>306</v>
      </c>
      <c r="X108" s="48">
        <f t="shared" si="19"/>
        <v>0.69348441926345605</v>
      </c>
    </row>
    <row r="109" spans="1:24" s="15" customFormat="1" ht="20.25" customHeight="1">
      <c r="A109" s="64">
        <v>91</v>
      </c>
      <c r="B109" s="63" t="s">
        <v>321</v>
      </c>
      <c r="C109" s="6" t="s">
        <v>322</v>
      </c>
      <c r="D109" s="23" t="s">
        <v>318</v>
      </c>
      <c r="E109" s="74">
        <v>100</v>
      </c>
      <c r="F109" s="1">
        <v>54.3</v>
      </c>
      <c r="G109" s="1" t="s">
        <v>7</v>
      </c>
      <c r="H109" s="1" t="s">
        <v>7</v>
      </c>
      <c r="I109" s="1" t="s">
        <v>7</v>
      </c>
      <c r="J109" s="1" t="s">
        <v>7</v>
      </c>
      <c r="K109" s="1" t="s">
        <v>7</v>
      </c>
      <c r="L109" s="1" t="s">
        <v>7</v>
      </c>
      <c r="M109" s="1" t="s">
        <v>7</v>
      </c>
      <c r="N109" s="1" t="s">
        <v>7</v>
      </c>
      <c r="O109" s="1" t="s">
        <v>7</v>
      </c>
      <c r="P109" s="1" t="s">
        <v>7</v>
      </c>
      <c r="Q109" s="1" t="s">
        <v>7</v>
      </c>
      <c r="R109" s="1" t="s">
        <v>7</v>
      </c>
      <c r="S109" s="1" t="s">
        <v>7</v>
      </c>
      <c r="T109" s="1">
        <v>100</v>
      </c>
      <c r="U109" s="1">
        <v>100</v>
      </c>
      <c r="V109" s="1">
        <v>100</v>
      </c>
      <c r="W109" s="1">
        <v>100</v>
      </c>
      <c r="X109" s="48">
        <f t="shared" si="19"/>
        <v>0.22662889518413595</v>
      </c>
    </row>
    <row r="110" spans="1:24" s="15" customFormat="1" ht="20.25" customHeight="1">
      <c r="A110" s="64">
        <v>92</v>
      </c>
      <c r="B110" s="63" t="s">
        <v>339</v>
      </c>
      <c r="C110" s="6" t="s">
        <v>340</v>
      </c>
      <c r="D110" s="23" t="s">
        <v>331</v>
      </c>
      <c r="E110" s="74">
        <v>198</v>
      </c>
      <c r="F110" s="1">
        <v>25.6</v>
      </c>
      <c r="G110" s="1" t="s">
        <v>7</v>
      </c>
      <c r="H110" s="1" t="s">
        <v>7</v>
      </c>
      <c r="I110" s="1" t="s">
        <v>7</v>
      </c>
      <c r="J110" s="1" t="s">
        <v>7</v>
      </c>
      <c r="K110" s="1" t="s">
        <v>7</v>
      </c>
      <c r="L110" s="1" t="s">
        <v>7</v>
      </c>
      <c r="M110" s="1" t="s">
        <v>7</v>
      </c>
      <c r="N110" s="1" t="s">
        <v>7</v>
      </c>
      <c r="O110" s="1" t="s">
        <v>7</v>
      </c>
      <c r="P110" s="1" t="s">
        <v>7</v>
      </c>
      <c r="Q110" s="1" t="s">
        <v>7</v>
      </c>
      <c r="R110" s="1" t="s">
        <v>7</v>
      </c>
      <c r="S110" s="1" t="s">
        <v>7</v>
      </c>
      <c r="T110" s="1" t="s">
        <v>7</v>
      </c>
      <c r="U110" s="1">
        <v>198</v>
      </c>
      <c r="V110" s="1">
        <v>198</v>
      </c>
      <c r="W110" s="1">
        <v>198</v>
      </c>
      <c r="X110" s="48">
        <f t="shared" si="19"/>
        <v>0.44872521246458924</v>
      </c>
    </row>
    <row r="111" spans="1:24" s="15" customFormat="1" ht="20.25" customHeight="1">
      <c r="A111" s="64">
        <v>93</v>
      </c>
      <c r="B111" s="63" t="s">
        <v>73</v>
      </c>
      <c r="C111" s="6" t="s">
        <v>201</v>
      </c>
      <c r="D111" s="5" t="s">
        <v>57</v>
      </c>
      <c r="E111" s="74">
        <v>60</v>
      </c>
      <c r="F111" s="1">
        <v>3.2</v>
      </c>
      <c r="G111" s="1">
        <v>362</v>
      </c>
      <c r="H111" s="1">
        <v>362</v>
      </c>
      <c r="I111" s="1">
        <v>362</v>
      </c>
      <c r="J111" s="1">
        <v>362</v>
      </c>
      <c r="K111" s="1">
        <v>362</v>
      </c>
      <c r="L111" s="1">
        <v>362</v>
      </c>
      <c r="M111" s="1">
        <v>362</v>
      </c>
      <c r="N111" s="1">
        <v>362</v>
      </c>
      <c r="O111" s="1">
        <v>362</v>
      </c>
      <c r="P111" s="1">
        <v>362</v>
      </c>
      <c r="Q111" s="1">
        <v>362</v>
      </c>
      <c r="R111" s="1">
        <v>362</v>
      </c>
      <c r="S111" s="1">
        <v>362</v>
      </c>
      <c r="T111" s="1">
        <v>362</v>
      </c>
      <c r="U111" s="1">
        <v>362</v>
      </c>
      <c r="V111" s="1">
        <v>362</v>
      </c>
      <c r="W111" s="1">
        <v>362</v>
      </c>
      <c r="X111" s="48">
        <f t="shared" si="19"/>
        <v>0.82039660056657226</v>
      </c>
    </row>
    <row r="112" spans="1:24" s="15" customFormat="1" ht="20.25" customHeight="1">
      <c r="A112" s="64">
        <v>94</v>
      </c>
      <c r="B112" s="63" t="s">
        <v>341</v>
      </c>
      <c r="C112" s="6" t="s">
        <v>202</v>
      </c>
      <c r="D112" s="23">
        <v>2018</v>
      </c>
      <c r="E112" s="74">
        <v>362</v>
      </c>
      <c r="F112" s="1">
        <v>35</v>
      </c>
      <c r="G112" s="1" t="s">
        <v>7</v>
      </c>
      <c r="H112" s="1" t="s">
        <v>7</v>
      </c>
      <c r="I112" s="1" t="s">
        <v>7</v>
      </c>
      <c r="J112" s="1" t="s">
        <v>7</v>
      </c>
      <c r="K112" s="1" t="s">
        <v>7</v>
      </c>
      <c r="L112" s="1" t="s">
        <v>7</v>
      </c>
      <c r="M112" s="1" t="s">
        <v>7</v>
      </c>
      <c r="N112" s="1" t="s">
        <v>7</v>
      </c>
      <c r="O112" s="1" t="s">
        <v>7</v>
      </c>
      <c r="P112" s="1" t="s">
        <v>7</v>
      </c>
      <c r="Q112" s="1" t="s">
        <v>7</v>
      </c>
      <c r="R112" s="1">
        <v>94</v>
      </c>
      <c r="S112" s="1">
        <v>182</v>
      </c>
      <c r="T112" s="1">
        <v>182</v>
      </c>
      <c r="U112" s="1">
        <v>182</v>
      </c>
      <c r="V112" s="1">
        <v>182</v>
      </c>
      <c r="W112" s="1">
        <v>182</v>
      </c>
      <c r="X112" s="48">
        <f t="shared" si="19"/>
        <v>0.41246458923512752</v>
      </c>
    </row>
    <row r="113" spans="1:24" s="15" customFormat="1" ht="20.25" customHeight="1">
      <c r="A113" s="64">
        <v>95</v>
      </c>
      <c r="B113" s="63" t="s">
        <v>203</v>
      </c>
      <c r="C113" s="6" t="s">
        <v>204</v>
      </c>
      <c r="D113" s="5" t="s">
        <v>50</v>
      </c>
      <c r="E113" s="74">
        <v>58</v>
      </c>
      <c r="F113" s="1">
        <v>38.6</v>
      </c>
      <c r="G113" s="1">
        <v>74</v>
      </c>
      <c r="H113" s="1">
        <v>74</v>
      </c>
      <c r="I113" s="1">
        <v>74</v>
      </c>
      <c r="J113" s="1">
        <v>74</v>
      </c>
      <c r="K113" s="1">
        <v>74</v>
      </c>
      <c r="L113" s="1">
        <v>74</v>
      </c>
      <c r="M113" s="1">
        <v>74</v>
      </c>
      <c r="N113" s="1">
        <v>74</v>
      </c>
      <c r="O113" s="1">
        <v>74</v>
      </c>
      <c r="P113" s="1">
        <v>74</v>
      </c>
      <c r="Q113" s="1">
        <v>72</v>
      </c>
      <c r="R113" s="1">
        <v>72</v>
      </c>
      <c r="S113" s="1">
        <v>72</v>
      </c>
      <c r="T113" s="1">
        <v>72</v>
      </c>
      <c r="U113" s="1">
        <v>72</v>
      </c>
      <c r="V113" s="1">
        <v>72</v>
      </c>
      <c r="W113" s="1">
        <v>72</v>
      </c>
      <c r="X113" s="48">
        <f t="shared" si="19"/>
        <v>0.1631728045325779</v>
      </c>
    </row>
    <row r="114" spans="1:24" s="15" customFormat="1" ht="20.25" customHeight="1">
      <c r="A114" s="64">
        <v>96</v>
      </c>
      <c r="B114" s="63" t="s">
        <v>205</v>
      </c>
      <c r="C114" s="6" t="s">
        <v>206</v>
      </c>
      <c r="D114" s="71">
        <v>2016</v>
      </c>
      <c r="E114" s="74">
        <v>164</v>
      </c>
      <c r="F114" s="1">
        <v>8</v>
      </c>
      <c r="G114" s="1" t="s">
        <v>7</v>
      </c>
      <c r="H114" s="1" t="s">
        <v>7</v>
      </c>
      <c r="I114" s="1" t="s">
        <v>7</v>
      </c>
      <c r="J114" s="1" t="s">
        <v>7</v>
      </c>
      <c r="K114" s="1" t="s">
        <v>7</v>
      </c>
      <c r="L114" s="1" t="s">
        <v>7</v>
      </c>
      <c r="M114" s="1" t="s">
        <v>7</v>
      </c>
      <c r="N114" s="1" t="s">
        <v>7</v>
      </c>
      <c r="O114" s="1" t="s">
        <v>7</v>
      </c>
      <c r="P114" s="1">
        <v>164</v>
      </c>
      <c r="Q114" s="1">
        <v>164</v>
      </c>
      <c r="R114" s="1">
        <v>164</v>
      </c>
      <c r="S114" s="1">
        <v>164</v>
      </c>
      <c r="T114" s="1">
        <v>164</v>
      </c>
      <c r="U114" s="1">
        <v>164</v>
      </c>
      <c r="V114" s="1">
        <v>164</v>
      </c>
      <c r="W114" s="1">
        <v>164</v>
      </c>
      <c r="X114" s="48">
        <f t="shared" si="19"/>
        <v>0.37167138810198297</v>
      </c>
    </row>
    <row r="115" spans="1:24" s="15" customFormat="1" ht="20.25" customHeight="1">
      <c r="A115" s="64">
        <v>97</v>
      </c>
      <c r="B115" s="63" t="s">
        <v>74</v>
      </c>
      <c r="C115" s="6" t="s">
        <v>207</v>
      </c>
      <c r="D115" s="5" t="s">
        <v>52</v>
      </c>
      <c r="E115" s="74">
        <v>128</v>
      </c>
      <c r="F115" s="1">
        <v>37</v>
      </c>
      <c r="G115" s="1">
        <v>570</v>
      </c>
      <c r="H115" s="1">
        <v>570</v>
      </c>
      <c r="I115" s="1">
        <v>570</v>
      </c>
      <c r="J115" s="1">
        <v>570</v>
      </c>
      <c r="K115" s="1">
        <v>570</v>
      </c>
      <c r="L115" s="1">
        <v>570</v>
      </c>
      <c r="M115" s="1">
        <v>570</v>
      </c>
      <c r="N115" s="1">
        <v>570</v>
      </c>
      <c r="O115" s="1">
        <v>570</v>
      </c>
      <c r="P115" s="1">
        <v>570</v>
      </c>
      <c r="Q115" s="1">
        <v>572</v>
      </c>
      <c r="R115" s="1">
        <v>572</v>
      </c>
      <c r="S115" s="1">
        <v>572</v>
      </c>
      <c r="T115" s="1">
        <v>572</v>
      </c>
      <c r="U115" s="1">
        <v>572</v>
      </c>
      <c r="V115" s="1">
        <v>572</v>
      </c>
      <c r="W115" s="1">
        <v>572</v>
      </c>
      <c r="X115" s="48">
        <f t="shared" si="19"/>
        <v>1.2963172804532579</v>
      </c>
    </row>
    <row r="116" spans="1:24" s="15" customFormat="1" ht="20.25" customHeight="1">
      <c r="A116" s="64">
        <v>98</v>
      </c>
      <c r="B116" s="63" t="s">
        <v>358</v>
      </c>
      <c r="C116" s="6" t="s">
        <v>359</v>
      </c>
      <c r="D116" s="23">
        <v>2022</v>
      </c>
      <c r="E116" s="74">
        <v>70</v>
      </c>
      <c r="F116" s="1">
        <v>48.3</v>
      </c>
      <c r="G116" s="1" t="s">
        <v>7</v>
      </c>
      <c r="H116" s="1" t="s">
        <v>7</v>
      </c>
      <c r="I116" s="1" t="s">
        <v>7</v>
      </c>
      <c r="J116" s="1" t="s">
        <v>7</v>
      </c>
      <c r="K116" s="1" t="s">
        <v>7</v>
      </c>
      <c r="L116" s="1" t="s">
        <v>7</v>
      </c>
      <c r="M116" s="1" t="s">
        <v>7</v>
      </c>
      <c r="N116" s="1" t="s">
        <v>7</v>
      </c>
      <c r="O116" s="1" t="s">
        <v>7</v>
      </c>
      <c r="P116" s="1" t="s">
        <v>7</v>
      </c>
      <c r="Q116" s="1" t="s">
        <v>7</v>
      </c>
      <c r="R116" s="1" t="s">
        <v>7</v>
      </c>
      <c r="S116" s="1" t="s">
        <v>7</v>
      </c>
      <c r="T116" s="1" t="s">
        <v>7</v>
      </c>
      <c r="U116" s="1" t="s">
        <v>7</v>
      </c>
      <c r="V116" s="1">
        <v>70</v>
      </c>
      <c r="W116" s="1">
        <v>124</v>
      </c>
      <c r="X116" s="48">
        <f t="shared" si="19"/>
        <v>0.28101983002832859</v>
      </c>
    </row>
    <row r="117" spans="1:24" s="15" customFormat="1" ht="20.25" customHeight="1">
      <c r="A117" s="64">
        <v>99</v>
      </c>
      <c r="B117" s="63" t="s">
        <v>75</v>
      </c>
      <c r="C117" s="6" t="s">
        <v>209</v>
      </c>
      <c r="D117" s="62" t="s">
        <v>53</v>
      </c>
      <c r="E117" s="74">
        <v>20</v>
      </c>
      <c r="F117" s="1">
        <v>46.7</v>
      </c>
      <c r="G117" s="1">
        <v>100</v>
      </c>
      <c r="H117" s="1">
        <v>100</v>
      </c>
      <c r="I117" s="1">
        <v>100</v>
      </c>
      <c r="J117" s="1">
        <v>100</v>
      </c>
      <c r="K117" s="1">
        <v>100</v>
      </c>
      <c r="L117" s="1">
        <v>100</v>
      </c>
      <c r="M117" s="1">
        <v>100</v>
      </c>
      <c r="N117" s="1">
        <v>100</v>
      </c>
      <c r="O117" s="1">
        <v>220</v>
      </c>
      <c r="P117" s="1">
        <v>236</v>
      </c>
      <c r="Q117" s="1">
        <v>236</v>
      </c>
      <c r="R117" s="1">
        <v>236</v>
      </c>
      <c r="S117" s="1">
        <v>236</v>
      </c>
      <c r="T117" s="1">
        <v>236</v>
      </c>
      <c r="U117" s="1">
        <v>236</v>
      </c>
      <c r="V117" s="1">
        <v>242</v>
      </c>
      <c r="W117" s="1">
        <v>242</v>
      </c>
      <c r="X117" s="48">
        <f t="shared" si="19"/>
        <v>0.54844192634560907</v>
      </c>
    </row>
    <row r="118" spans="1:24" s="15" customFormat="1" ht="20.25" customHeight="1">
      <c r="A118" s="64">
        <v>100</v>
      </c>
      <c r="B118" s="63" t="s">
        <v>210</v>
      </c>
      <c r="C118" s="6" t="s">
        <v>211</v>
      </c>
      <c r="D118" s="62" t="s">
        <v>5</v>
      </c>
      <c r="E118" s="74">
        <v>236</v>
      </c>
      <c r="F118" s="1">
        <v>51.9</v>
      </c>
      <c r="G118" s="1"/>
      <c r="H118" s="1"/>
      <c r="I118" s="1"/>
      <c r="J118" s="1"/>
      <c r="K118" s="1"/>
      <c r="L118" s="1"/>
      <c r="M118" s="51" t="s">
        <v>7</v>
      </c>
      <c r="N118" s="51" t="s">
        <v>7</v>
      </c>
      <c r="O118" s="51" t="s">
        <v>7</v>
      </c>
      <c r="P118" s="51" t="s">
        <v>7</v>
      </c>
      <c r="Q118" s="51" t="s">
        <v>7</v>
      </c>
      <c r="R118" s="1">
        <v>288</v>
      </c>
      <c r="S118" s="1">
        <v>288</v>
      </c>
      <c r="T118" s="1">
        <v>288</v>
      </c>
      <c r="U118" s="1">
        <v>288</v>
      </c>
      <c r="V118" s="1">
        <v>288</v>
      </c>
      <c r="W118" s="1">
        <v>288</v>
      </c>
      <c r="X118" s="48">
        <f t="shared" si="19"/>
        <v>0.65269121813031161</v>
      </c>
    </row>
    <row r="119" spans="1:24" s="15" customFormat="1" ht="20.25" customHeight="1">
      <c r="A119" s="64">
        <v>101</v>
      </c>
      <c r="B119" s="63" t="s">
        <v>213</v>
      </c>
      <c r="C119" s="6" t="s">
        <v>214</v>
      </c>
      <c r="D119" s="5" t="s">
        <v>53</v>
      </c>
      <c r="E119" s="74">
        <v>24</v>
      </c>
      <c r="F119" s="1">
        <v>64.400000000000006</v>
      </c>
      <c r="G119" s="1">
        <v>264</v>
      </c>
      <c r="H119" s="1">
        <v>264</v>
      </c>
      <c r="I119" s="1">
        <v>268</v>
      </c>
      <c r="J119" s="1">
        <v>268</v>
      </c>
      <c r="K119" s="1">
        <v>268</v>
      </c>
      <c r="L119" s="1">
        <v>268</v>
      </c>
      <c r="M119" s="1">
        <v>268</v>
      </c>
      <c r="N119" s="1">
        <v>268</v>
      </c>
      <c r="O119" s="1">
        <v>268</v>
      </c>
      <c r="P119" s="1">
        <v>268</v>
      </c>
      <c r="Q119" s="1">
        <v>268</v>
      </c>
      <c r="R119" s="1">
        <v>268</v>
      </c>
      <c r="S119" s="1">
        <v>268</v>
      </c>
      <c r="T119" s="1">
        <v>268</v>
      </c>
      <c r="U119" s="1">
        <v>268</v>
      </c>
      <c r="V119" s="1">
        <v>268</v>
      </c>
      <c r="W119" s="1">
        <v>268</v>
      </c>
      <c r="X119" s="48">
        <f t="shared" si="19"/>
        <v>0.60736543909348439</v>
      </c>
    </row>
    <row r="120" spans="1:24" s="15" customFormat="1" ht="20.25" customHeight="1">
      <c r="A120" s="64">
        <v>102</v>
      </c>
      <c r="B120" s="63" t="s">
        <v>215</v>
      </c>
      <c r="C120" s="6" t="s">
        <v>216</v>
      </c>
      <c r="D120" s="71">
        <v>2016</v>
      </c>
      <c r="E120" s="74">
        <v>198</v>
      </c>
      <c r="F120" s="1">
        <v>36.4</v>
      </c>
      <c r="G120" s="1" t="s">
        <v>7</v>
      </c>
      <c r="H120" s="1" t="s">
        <v>7</v>
      </c>
      <c r="I120" s="1" t="s">
        <v>7</v>
      </c>
      <c r="J120" s="1" t="s">
        <v>7</v>
      </c>
      <c r="K120" s="1" t="s">
        <v>7</v>
      </c>
      <c r="L120" s="1" t="s">
        <v>7</v>
      </c>
      <c r="M120" s="1" t="s">
        <v>7</v>
      </c>
      <c r="N120" s="1" t="s">
        <v>7</v>
      </c>
      <c r="O120" s="1" t="s">
        <v>7</v>
      </c>
      <c r="P120" s="1">
        <v>204</v>
      </c>
      <c r="Q120" s="1">
        <v>204</v>
      </c>
      <c r="R120" s="1">
        <v>204</v>
      </c>
      <c r="S120" s="1">
        <v>204</v>
      </c>
      <c r="T120" s="1">
        <v>204</v>
      </c>
      <c r="U120" s="1">
        <v>214</v>
      </c>
      <c r="V120" s="1">
        <v>214</v>
      </c>
      <c r="W120" s="1">
        <v>214</v>
      </c>
      <c r="X120" s="48">
        <f t="shared" si="19"/>
        <v>0.48498583569405096</v>
      </c>
    </row>
    <row r="121" spans="1:24" s="15" customFormat="1" ht="20.25" customHeight="1">
      <c r="A121" s="64">
        <v>103</v>
      </c>
      <c r="B121" s="63" t="s">
        <v>76</v>
      </c>
      <c r="C121" s="6" t="s">
        <v>217</v>
      </c>
      <c r="D121" s="5" t="s">
        <v>53</v>
      </c>
      <c r="E121" s="74">
        <v>24</v>
      </c>
      <c r="F121" s="1">
        <v>9.6</v>
      </c>
      <c r="G121" s="1">
        <v>520</v>
      </c>
      <c r="H121" s="1">
        <v>568</v>
      </c>
      <c r="I121" s="1">
        <v>568</v>
      </c>
      <c r="J121" s="1">
        <v>568</v>
      </c>
      <c r="K121" s="1">
        <v>568</v>
      </c>
      <c r="L121" s="1">
        <v>568</v>
      </c>
      <c r="M121" s="1">
        <v>568</v>
      </c>
      <c r="N121" s="1">
        <v>568</v>
      </c>
      <c r="O121" s="1">
        <v>568</v>
      </c>
      <c r="P121" s="1">
        <v>568</v>
      </c>
      <c r="Q121" s="1">
        <v>568</v>
      </c>
      <c r="R121" s="1">
        <v>568</v>
      </c>
      <c r="S121" s="1">
        <v>568</v>
      </c>
      <c r="T121" s="1">
        <v>568</v>
      </c>
      <c r="U121" s="1">
        <v>568</v>
      </c>
      <c r="V121" s="1">
        <v>568</v>
      </c>
      <c r="W121" s="1">
        <v>568</v>
      </c>
      <c r="X121" s="48">
        <f t="shared" si="19"/>
        <v>1.2872521246458923</v>
      </c>
    </row>
    <row r="122" spans="1:24" s="15" customFormat="1" ht="20.25" customHeight="1">
      <c r="A122" s="64">
        <v>104</v>
      </c>
      <c r="B122" s="63" t="s">
        <v>344</v>
      </c>
      <c r="C122" s="83" t="s">
        <v>345</v>
      </c>
      <c r="D122" s="23">
        <v>2021</v>
      </c>
      <c r="E122" s="74">
        <v>258</v>
      </c>
      <c r="F122" s="1">
        <v>49</v>
      </c>
      <c r="G122" s="1" t="s">
        <v>7</v>
      </c>
      <c r="H122" s="1" t="s">
        <v>7</v>
      </c>
      <c r="I122" s="1" t="s">
        <v>7</v>
      </c>
      <c r="J122" s="1" t="s">
        <v>7</v>
      </c>
      <c r="K122" s="1" t="s">
        <v>7</v>
      </c>
      <c r="L122" s="1" t="s">
        <v>7</v>
      </c>
      <c r="M122" s="1" t="s">
        <v>7</v>
      </c>
      <c r="N122" s="1" t="s">
        <v>7</v>
      </c>
      <c r="O122" s="1" t="s">
        <v>7</v>
      </c>
      <c r="P122" s="1" t="s">
        <v>7</v>
      </c>
      <c r="Q122" s="1" t="s">
        <v>7</v>
      </c>
      <c r="R122" s="1" t="s">
        <v>7</v>
      </c>
      <c r="S122" s="1" t="s">
        <v>7</v>
      </c>
      <c r="T122" s="1" t="s">
        <v>7</v>
      </c>
      <c r="U122" s="1">
        <v>258</v>
      </c>
      <c r="V122" s="1">
        <v>258</v>
      </c>
      <c r="W122" s="1">
        <v>258</v>
      </c>
      <c r="X122" s="48">
        <f t="shared" si="19"/>
        <v>0.58470254957507084</v>
      </c>
    </row>
    <row r="123" spans="1:24" s="15" customFormat="1" ht="20.25" customHeight="1">
      <c r="A123" s="64">
        <v>105</v>
      </c>
      <c r="B123" s="63" t="s">
        <v>361</v>
      </c>
      <c r="C123" s="6" t="s">
        <v>218</v>
      </c>
      <c r="D123" s="5" t="s">
        <v>54</v>
      </c>
      <c r="E123" s="74">
        <v>40</v>
      </c>
      <c r="F123" s="1">
        <v>40.200000000000003</v>
      </c>
      <c r="G123" s="1">
        <v>100</v>
      </c>
      <c r="H123" s="1">
        <v>100</v>
      </c>
      <c r="I123" s="1">
        <v>100</v>
      </c>
      <c r="J123" s="1">
        <v>100</v>
      </c>
      <c r="K123" s="1">
        <v>100</v>
      </c>
      <c r="L123" s="1">
        <v>100</v>
      </c>
      <c r="M123" s="1">
        <v>100</v>
      </c>
      <c r="N123" s="1">
        <v>100</v>
      </c>
      <c r="O123" s="1">
        <v>100</v>
      </c>
      <c r="P123" s="1">
        <v>100</v>
      </c>
      <c r="Q123" s="1">
        <v>100</v>
      </c>
      <c r="R123" s="1">
        <v>100</v>
      </c>
      <c r="S123" s="1">
        <v>100</v>
      </c>
      <c r="T123" s="1">
        <v>100</v>
      </c>
      <c r="U123" s="1">
        <v>100</v>
      </c>
      <c r="V123" s="1">
        <v>100</v>
      </c>
      <c r="W123" s="1">
        <v>100</v>
      </c>
      <c r="X123" s="48">
        <f t="shared" si="19"/>
        <v>0.22662889518413595</v>
      </c>
    </row>
    <row r="124" spans="1:24" s="15" customFormat="1" ht="20.25" customHeight="1">
      <c r="A124" s="64">
        <v>106</v>
      </c>
      <c r="B124" s="63" t="s">
        <v>219</v>
      </c>
      <c r="C124" s="6" t="s">
        <v>224</v>
      </c>
      <c r="D124" s="23">
        <v>2019</v>
      </c>
      <c r="E124" s="74">
        <v>340</v>
      </c>
      <c r="F124" s="1">
        <v>4</v>
      </c>
      <c r="G124" s="1"/>
      <c r="H124" s="1"/>
      <c r="I124" s="1"/>
      <c r="J124" s="1"/>
      <c r="K124" s="1"/>
      <c r="L124" s="1"/>
      <c r="M124" s="1" t="s">
        <v>7</v>
      </c>
      <c r="N124" s="1" t="s">
        <v>7</v>
      </c>
      <c r="O124" s="1" t="s">
        <v>7</v>
      </c>
      <c r="P124" s="51" t="s">
        <v>7</v>
      </c>
      <c r="Q124" s="51" t="s">
        <v>7</v>
      </c>
      <c r="R124" s="51" t="s">
        <v>7</v>
      </c>
      <c r="S124" s="1">
        <v>340</v>
      </c>
      <c r="T124" s="1">
        <v>340</v>
      </c>
      <c r="U124" s="1">
        <v>340</v>
      </c>
      <c r="V124" s="1">
        <v>340</v>
      </c>
      <c r="W124" s="1">
        <v>340</v>
      </c>
      <c r="X124" s="48">
        <f t="shared" si="19"/>
        <v>0.77053824362606238</v>
      </c>
    </row>
    <row r="125" spans="1:24" s="15" customFormat="1" ht="20.25" customHeight="1">
      <c r="A125" s="64">
        <v>107</v>
      </c>
      <c r="B125" s="63" t="s">
        <v>220</v>
      </c>
      <c r="C125" s="6" t="s">
        <v>221</v>
      </c>
      <c r="D125" s="62">
        <v>1973</v>
      </c>
      <c r="E125" s="74">
        <v>112</v>
      </c>
      <c r="F125" s="1">
        <v>5.6</v>
      </c>
      <c r="G125" s="1">
        <v>312</v>
      </c>
      <c r="H125" s="1">
        <v>312</v>
      </c>
      <c r="I125" s="1">
        <v>312</v>
      </c>
      <c r="J125" s="1">
        <v>312</v>
      </c>
      <c r="K125" s="1">
        <v>312</v>
      </c>
      <c r="L125" s="1">
        <v>312</v>
      </c>
      <c r="M125" s="1">
        <v>312</v>
      </c>
      <c r="N125" s="1">
        <v>312</v>
      </c>
      <c r="O125" s="1">
        <v>312</v>
      </c>
      <c r="P125" s="1">
        <v>312</v>
      </c>
      <c r="Q125" s="1">
        <v>352</v>
      </c>
      <c r="R125" s="1">
        <v>352</v>
      </c>
      <c r="S125" s="1">
        <v>352</v>
      </c>
      <c r="T125" s="1">
        <v>352</v>
      </c>
      <c r="U125" s="1">
        <v>352</v>
      </c>
      <c r="V125" s="1">
        <v>352</v>
      </c>
      <c r="W125" s="1">
        <v>352</v>
      </c>
      <c r="X125" s="48">
        <f t="shared" si="19"/>
        <v>0.79773371104815871</v>
      </c>
    </row>
    <row r="126" spans="1:24" s="15" customFormat="1" ht="20.25" customHeight="1">
      <c r="A126" s="64">
        <v>108</v>
      </c>
      <c r="B126" s="63" t="s">
        <v>375</v>
      </c>
      <c r="C126" s="6" t="s">
        <v>377</v>
      </c>
      <c r="D126" s="62" t="s">
        <v>367</v>
      </c>
      <c r="E126" s="74">
        <v>160</v>
      </c>
      <c r="F126" s="1">
        <v>8.9</v>
      </c>
      <c r="G126" s="1" t="s">
        <v>7</v>
      </c>
      <c r="H126" s="1" t="s">
        <v>7</v>
      </c>
      <c r="I126" s="1" t="s">
        <v>7</v>
      </c>
      <c r="J126" s="1" t="s">
        <v>7</v>
      </c>
      <c r="K126" s="1" t="s">
        <v>7</v>
      </c>
      <c r="L126" s="1" t="s">
        <v>7</v>
      </c>
      <c r="M126" s="1" t="s">
        <v>7</v>
      </c>
      <c r="N126" s="1" t="s">
        <v>7</v>
      </c>
      <c r="O126" s="1" t="s">
        <v>7</v>
      </c>
      <c r="P126" s="1" t="s">
        <v>7</v>
      </c>
      <c r="Q126" s="1" t="s">
        <v>7</v>
      </c>
      <c r="R126" s="1" t="s">
        <v>7</v>
      </c>
      <c r="S126" s="1" t="s">
        <v>7</v>
      </c>
      <c r="T126" s="1" t="s">
        <v>7</v>
      </c>
      <c r="U126" s="1" t="s">
        <v>7</v>
      </c>
      <c r="V126" s="1" t="s">
        <v>7</v>
      </c>
      <c r="W126" s="1">
        <v>160</v>
      </c>
      <c r="X126" s="48">
        <f t="shared" si="19"/>
        <v>0.36260623229461758</v>
      </c>
    </row>
    <row r="127" spans="1:24" ht="20.25" customHeight="1">
      <c r="A127" s="64">
        <v>109</v>
      </c>
      <c r="B127" s="63" t="s">
        <v>78</v>
      </c>
      <c r="C127" s="6" t="s">
        <v>222</v>
      </c>
      <c r="D127" s="71">
        <v>1983</v>
      </c>
      <c r="E127" s="74">
        <v>58</v>
      </c>
      <c r="F127" s="1">
        <v>35</v>
      </c>
      <c r="G127" s="1">
        <v>216</v>
      </c>
      <c r="H127" s="1">
        <v>216</v>
      </c>
      <c r="I127" s="1">
        <v>216</v>
      </c>
      <c r="J127" s="1">
        <v>216</v>
      </c>
      <c r="K127" s="1">
        <v>230</v>
      </c>
      <c r="L127" s="1">
        <v>230</v>
      </c>
      <c r="M127" s="1">
        <v>230</v>
      </c>
      <c r="N127" s="1">
        <v>230</v>
      </c>
      <c r="O127" s="1">
        <v>230</v>
      </c>
      <c r="P127" s="1">
        <v>230</v>
      </c>
      <c r="Q127" s="1">
        <v>314</v>
      </c>
      <c r="R127" s="1">
        <v>314</v>
      </c>
      <c r="S127" s="1">
        <v>314</v>
      </c>
      <c r="T127" s="1">
        <v>314</v>
      </c>
      <c r="U127" s="1">
        <v>314</v>
      </c>
      <c r="V127" s="1">
        <v>314</v>
      </c>
      <c r="W127" s="1">
        <v>314</v>
      </c>
      <c r="X127" s="48">
        <f t="shared" si="19"/>
        <v>0.71161473087818694</v>
      </c>
    </row>
    <row r="128" spans="1:24" s="15" customFormat="1" ht="20.25" customHeight="1">
      <c r="A128" s="64">
        <v>110</v>
      </c>
      <c r="B128" s="63" t="s">
        <v>360</v>
      </c>
      <c r="C128" s="6" t="s">
        <v>212</v>
      </c>
      <c r="D128" s="5" t="s">
        <v>53</v>
      </c>
      <c r="E128" s="74">
        <v>36</v>
      </c>
      <c r="F128" s="1">
        <v>51.5</v>
      </c>
      <c r="G128" s="1">
        <v>268</v>
      </c>
      <c r="H128" s="1">
        <v>268</v>
      </c>
      <c r="I128" s="1">
        <v>268</v>
      </c>
      <c r="J128" s="1">
        <v>332</v>
      </c>
      <c r="K128" s="1">
        <v>332</v>
      </c>
      <c r="L128" s="1">
        <v>332</v>
      </c>
      <c r="M128" s="1">
        <v>332</v>
      </c>
      <c r="N128" s="1">
        <v>332</v>
      </c>
      <c r="O128" s="1">
        <v>332</v>
      </c>
      <c r="P128" s="1">
        <v>332</v>
      </c>
      <c r="Q128" s="1">
        <v>416</v>
      </c>
      <c r="R128" s="1">
        <v>456</v>
      </c>
      <c r="S128" s="1">
        <v>602</v>
      </c>
      <c r="T128" s="1">
        <v>602</v>
      </c>
      <c r="U128" s="1">
        <v>654</v>
      </c>
      <c r="V128" s="1">
        <v>654</v>
      </c>
      <c r="W128" s="1">
        <v>654</v>
      </c>
      <c r="X128" s="48">
        <f t="shared" si="19"/>
        <v>1.4821529745042492</v>
      </c>
    </row>
    <row r="129" spans="1:25" s="15" customFormat="1" ht="20.25" customHeight="1">
      <c r="A129" s="64">
        <v>111</v>
      </c>
      <c r="B129" s="63" t="s">
        <v>82</v>
      </c>
      <c r="C129" s="6" t="s">
        <v>229</v>
      </c>
      <c r="D129" s="5">
        <v>1982</v>
      </c>
      <c r="E129" s="74">
        <v>68</v>
      </c>
      <c r="F129" s="1">
        <v>32.200000000000003</v>
      </c>
      <c r="G129" s="1">
        <v>132</v>
      </c>
      <c r="H129" s="1">
        <v>132</v>
      </c>
      <c r="I129" s="1">
        <v>124</v>
      </c>
      <c r="J129" s="1">
        <v>124</v>
      </c>
      <c r="K129" s="1">
        <v>124</v>
      </c>
      <c r="L129" s="1">
        <v>124</v>
      </c>
      <c r="M129" s="1">
        <v>128</v>
      </c>
      <c r="N129" s="1">
        <v>128</v>
      </c>
      <c r="O129" s="1">
        <v>128</v>
      </c>
      <c r="P129" s="5">
        <v>128</v>
      </c>
      <c r="Q129" s="5">
        <v>128</v>
      </c>
      <c r="R129" s="5">
        <v>128</v>
      </c>
      <c r="S129" s="1">
        <v>128</v>
      </c>
      <c r="T129" s="1">
        <v>128</v>
      </c>
      <c r="U129" s="1">
        <v>128</v>
      </c>
      <c r="V129" s="1">
        <v>128</v>
      </c>
      <c r="W129" s="1">
        <v>128</v>
      </c>
      <c r="X129" s="48">
        <f t="shared" si="19"/>
        <v>0.29008498583569409</v>
      </c>
    </row>
    <row r="130" spans="1:25" s="15" customFormat="1" ht="20.25" customHeight="1">
      <c r="A130" s="64">
        <v>112</v>
      </c>
      <c r="B130" s="63" t="s">
        <v>79</v>
      </c>
      <c r="C130" s="6" t="s">
        <v>223</v>
      </c>
      <c r="D130" s="71">
        <v>1983</v>
      </c>
      <c r="E130" s="74">
        <v>20</v>
      </c>
      <c r="F130" s="1">
        <v>12.9</v>
      </c>
      <c r="G130" s="1">
        <v>128</v>
      </c>
      <c r="H130" s="1">
        <v>128</v>
      </c>
      <c r="I130" s="1">
        <v>128</v>
      </c>
      <c r="J130" s="1">
        <v>128</v>
      </c>
      <c r="K130" s="1">
        <v>128</v>
      </c>
      <c r="L130" s="1">
        <v>128</v>
      </c>
      <c r="M130" s="1">
        <v>128</v>
      </c>
      <c r="N130" s="1">
        <v>128</v>
      </c>
      <c r="O130" s="1">
        <v>128</v>
      </c>
      <c r="P130" s="1">
        <v>128</v>
      </c>
      <c r="Q130" s="1">
        <v>134</v>
      </c>
      <c r="R130" s="1">
        <v>134</v>
      </c>
      <c r="S130" s="1">
        <v>134</v>
      </c>
      <c r="T130" s="1">
        <v>134</v>
      </c>
      <c r="U130" s="1">
        <v>134</v>
      </c>
      <c r="V130" s="1">
        <v>134</v>
      </c>
      <c r="W130" s="1">
        <v>134</v>
      </c>
      <c r="X130" s="48">
        <f t="shared" si="19"/>
        <v>0.3036827195467422</v>
      </c>
    </row>
    <row r="131" spans="1:25" ht="20.25" customHeight="1">
      <c r="A131" s="64">
        <v>113</v>
      </c>
      <c r="B131" s="63" t="s">
        <v>121</v>
      </c>
      <c r="C131" s="6" t="s">
        <v>224</v>
      </c>
      <c r="D131" s="71">
        <v>2019</v>
      </c>
      <c r="E131" s="74">
        <v>60</v>
      </c>
      <c r="F131" s="1">
        <v>4</v>
      </c>
      <c r="G131" s="1" t="s">
        <v>7</v>
      </c>
      <c r="H131" s="1" t="s">
        <v>7</v>
      </c>
      <c r="I131" s="1" t="s">
        <v>7</v>
      </c>
      <c r="J131" s="1" t="s">
        <v>7</v>
      </c>
      <c r="K131" s="1" t="s">
        <v>7</v>
      </c>
      <c r="L131" s="1" t="s">
        <v>7</v>
      </c>
      <c r="M131" s="1" t="s">
        <v>7</v>
      </c>
      <c r="N131" s="1" t="s">
        <v>7</v>
      </c>
      <c r="O131" s="1" t="s">
        <v>7</v>
      </c>
      <c r="P131" s="1" t="s">
        <v>7</v>
      </c>
      <c r="Q131" s="1" t="s">
        <v>7</v>
      </c>
      <c r="R131" s="1" t="s">
        <v>7</v>
      </c>
      <c r="S131" s="1">
        <v>60</v>
      </c>
      <c r="T131" s="1">
        <v>60</v>
      </c>
      <c r="U131" s="1">
        <v>60</v>
      </c>
      <c r="V131" s="1">
        <v>60</v>
      </c>
      <c r="W131" s="1">
        <v>60</v>
      </c>
      <c r="X131" s="48">
        <f t="shared" si="19"/>
        <v>0.13597733711048157</v>
      </c>
    </row>
    <row r="132" spans="1:25" ht="20.25" customHeight="1">
      <c r="A132" s="64">
        <v>114</v>
      </c>
      <c r="B132" s="63" t="s">
        <v>342</v>
      </c>
      <c r="C132" s="6" t="s">
        <v>343</v>
      </c>
      <c r="D132" s="71">
        <v>2021</v>
      </c>
      <c r="E132" s="74">
        <v>232</v>
      </c>
      <c r="F132" s="1">
        <v>45</v>
      </c>
      <c r="G132" s="1" t="s">
        <v>7</v>
      </c>
      <c r="H132" s="1" t="s">
        <v>7</v>
      </c>
      <c r="I132" s="1" t="s">
        <v>7</v>
      </c>
      <c r="J132" s="1" t="s">
        <v>7</v>
      </c>
      <c r="K132" s="1" t="s">
        <v>7</v>
      </c>
      <c r="L132" s="1" t="s">
        <v>7</v>
      </c>
      <c r="M132" s="1" t="s">
        <v>7</v>
      </c>
      <c r="N132" s="1" t="s">
        <v>7</v>
      </c>
      <c r="O132" s="1" t="s">
        <v>7</v>
      </c>
      <c r="P132" s="1" t="s">
        <v>7</v>
      </c>
      <c r="Q132" s="1" t="s">
        <v>7</v>
      </c>
      <c r="R132" s="1" t="s">
        <v>7</v>
      </c>
      <c r="S132" s="1" t="s">
        <v>7</v>
      </c>
      <c r="T132" s="1" t="s">
        <v>7</v>
      </c>
      <c r="U132" s="1">
        <v>232</v>
      </c>
      <c r="V132" s="1">
        <v>232</v>
      </c>
      <c r="W132" s="1">
        <v>232</v>
      </c>
      <c r="X132" s="48">
        <f t="shared" si="19"/>
        <v>0.52577903682719551</v>
      </c>
    </row>
    <row r="133" spans="1:25" s="15" customFormat="1" ht="20.25" customHeight="1">
      <c r="A133" s="64">
        <v>115</v>
      </c>
      <c r="B133" s="63" t="s">
        <v>80</v>
      </c>
      <c r="C133" s="6" t="s">
        <v>225</v>
      </c>
      <c r="D133" s="5" t="s">
        <v>54</v>
      </c>
      <c r="E133" s="74">
        <v>44</v>
      </c>
      <c r="F133" s="1">
        <v>11</v>
      </c>
      <c r="G133" s="1">
        <v>138</v>
      </c>
      <c r="H133" s="1">
        <v>138</v>
      </c>
      <c r="I133" s="1">
        <v>172</v>
      </c>
      <c r="J133" s="1">
        <v>172</v>
      </c>
      <c r="K133" s="1">
        <v>172</v>
      </c>
      <c r="L133" s="1">
        <v>172</v>
      </c>
      <c r="M133" s="1">
        <v>172</v>
      </c>
      <c r="N133" s="1">
        <v>172</v>
      </c>
      <c r="O133" s="1">
        <v>172</v>
      </c>
      <c r="P133" s="1">
        <v>168</v>
      </c>
      <c r="Q133" s="1">
        <v>168</v>
      </c>
      <c r="R133" s="1">
        <v>168</v>
      </c>
      <c r="S133" s="1">
        <v>168</v>
      </c>
      <c r="T133" s="1">
        <v>174</v>
      </c>
      <c r="U133" s="1">
        <v>174</v>
      </c>
      <c r="V133" s="1">
        <v>174</v>
      </c>
      <c r="W133" s="1">
        <v>174</v>
      </c>
      <c r="X133" s="48">
        <f t="shared" si="19"/>
        <v>0.39433427762039663</v>
      </c>
    </row>
    <row r="134" spans="1:25" s="15" customFormat="1" ht="20.25" customHeight="1">
      <c r="A134" s="64">
        <v>116</v>
      </c>
      <c r="B134" s="63" t="s">
        <v>323</v>
      </c>
      <c r="C134" s="6" t="s">
        <v>226</v>
      </c>
      <c r="D134" s="5">
        <v>2019</v>
      </c>
      <c r="E134" s="74">
        <v>232</v>
      </c>
      <c r="F134" s="1">
        <v>39</v>
      </c>
      <c r="G134" s="1" t="s">
        <v>7</v>
      </c>
      <c r="H134" s="1" t="s">
        <v>7</v>
      </c>
      <c r="I134" s="1" t="s">
        <v>7</v>
      </c>
      <c r="J134" s="1" t="s">
        <v>7</v>
      </c>
      <c r="K134" s="1" t="s">
        <v>7</v>
      </c>
      <c r="L134" s="1" t="s">
        <v>7</v>
      </c>
      <c r="M134" s="1" t="s">
        <v>7</v>
      </c>
      <c r="N134" s="1" t="s">
        <v>7</v>
      </c>
      <c r="O134" s="1" t="s">
        <v>7</v>
      </c>
      <c r="P134" s="1" t="s">
        <v>7</v>
      </c>
      <c r="Q134" s="1" t="s">
        <v>7</v>
      </c>
      <c r="R134" s="1" t="s">
        <v>7</v>
      </c>
      <c r="S134" s="1">
        <v>232</v>
      </c>
      <c r="T134" s="1">
        <v>244</v>
      </c>
      <c r="U134" s="1">
        <v>244</v>
      </c>
      <c r="V134" s="1">
        <v>244</v>
      </c>
      <c r="W134" s="1">
        <v>244</v>
      </c>
      <c r="X134" s="48">
        <f t="shared" si="19"/>
        <v>0.55297450424929184</v>
      </c>
    </row>
    <row r="135" spans="1:25" s="15" customFormat="1" ht="20.25" customHeight="1">
      <c r="A135" s="64">
        <v>117</v>
      </c>
      <c r="B135" s="63" t="s">
        <v>227</v>
      </c>
      <c r="C135" s="6" t="s">
        <v>228</v>
      </c>
      <c r="D135" s="5" t="s">
        <v>81</v>
      </c>
      <c r="E135" s="74">
        <v>90</v>
      </c>
      <c r="F135" s="1">
        <v>11.3</v>
      </c>
      <c r="G135" s="1">
        <v>258</v>
      </c>
      <c r="H135" s="1">
        <v>258</v>
      </c>
      <c r="I135" s="1">
        <v>258</v>
      </c>
      <c r="J135" s="1">
        <v>258</v>
      </c>
      <c r="K135" s="1">
        <v>258</v>
      </c>
      <c r="L135" s="1">
        <v>258</v>
      </c>
      <c r="M135" s="1">
        <v>258</v>
      </c>
      <c r="N135" s="1">
        <v>258</v>
      </c>
      <c r="O135" s="1">
        <v>258</v>
      </c>
      <c r="P135" s="1">
        <v>258</v>
      </c>
      <c r="Q135" s="1">
        <v>258</v>
      </c>
      <c r="R135" s="1">
        <v>258</v>
      </c>
      <c r="S135" s="1">
        <v>258</v>
      </c>
      <c r="T135" s="1">
        <v>258</v>
      </c>
      <c r="U135" s="1">
        <v>258</v>
      </c>
      <c r="V135" s="1">
        <v>258</v>
      </c>
      <c r="W135" s="1">
        <v>258</v>
      </c>
      <c r="X135" s="48">
        <f t="shared" si="19"/>
        <v>0.58470254957507084</v>
      </c>
    </row>
    <row r="136" spans="1:25" ht="20.25" customHeight="1">
      <c r="A136" s="16">
        <v>118</v>
      </c>
      <c r="B136" s="27" t="s">
        <v>123</v>
      </c>
      <c r="C136" s="37" t="s">
        <v>230</v>
      </c>
      <c r="D136" s="72">
        <v>2019</v>
      </c>
      <c r="E136" s="17">
        <v>272</v>
      </c>
      <c r="F136" s="17">
        <v>24.4</v>
      </c>
      <c r="G136" s="17" t="s">
        <v>7</v>
      </c>
      <c r="H136" s="17" t="s">
        <v>7</v>
      </c>
      <c r="I136" s="17" t="s">
        <v>7</v>
      </c>
      <c r="J136" s="17" t="s">
        <v>7</v>
      </c>
      <c r="K136" s="17" t="s">
        <v>7</v>
      </c>
      <c r="L136" s="17" t="s">
        <v>7</v>
      </c>
      <c r="M136" s="17" t="s">
        <v>7</v>
      </c>
      <c r="N136" s="17" t="s">
        <v>7</v>
      </c>
      <c r="O136" s="17" t="s">
        <v>7</v>
      </c>
      <c r="P136" s="17" t="s">
        <v>7</v>
      </c>
      <c r="Q136" s="17" t="s">
        <v>7</v>
      </c>
      <c r="R136" s="17" t="s">
        <v>7</v>
      </c>
      <c r="S136" s="17">
        <v>272</v>
      </c>
      <c r="T136" s="17">
        <v>272</v>
      </c>
      <c r="U136" s="17">
        <v>272</v>
      </c>
      <c r="V136" s="17">
        <v>294</v>
      </c>
      <c r="W136" s="17">
        <v>294</v>
      </c>
      <c r="X136" s="93">
        <f t="shared" si="19"/>
        <v>0.66628895184135972</v>
      </c>
    </row>
    <row r="137" spans="1:25" s="15" customFormat="1" ht="20.25" customHeight="1">
      <c r="A137" s="96"/>
      <c r="B137" s="66" t="s">
        <v>18</v>
      </c>
      <c r="C137" s="65"/>
      <c r="D137" s="14" t="s">
        <v>7</v>
      </c>
      <c r="E137" s="14" t="s">
        <v>7</v>
      </c>
      <c r="F137" s="14" t="s">
        <v>7</v>
      </c>
      <c r="G137" s="14">
        <f t="shared" ref="G137:U137" si="20">SUM(G138:G150)</f>
        <v>1858</v>
      </c>
      <c r="H137" s="14">
        <f t="shared" si="20"/>
        <v>1928</v>
      </c>
      <c r="I137" s="14">
        <f t="shared" si="20"/>
        <v>1988</v>
      </c>
      <c r="J137" s="14">
        <f t="shared" si="20"/>
        <v>1988</v>
      </c>
      <c r="K137" s="14">
        <f t="shared" si="20"/>
        <v>1988</v>
      </c>
      <c r="L137" s="14">
        <f t="shared" si="20"/>
        <v>1988</v>
      </c>
      <c r="M137" s="14">
        <f t="shared" si="20"/>
        <v>2156</v>
      </c>
      <c r="N137" s="14">
        <f t="shared" si="20"/>
        <v>2216</v>
      </c>
      <c r="O137" s="14">
        <f t="shared" si="20"/>
        <v>2244</v>
      </c>
      <c r="P137" s="14">
        <f t="shared" si="20"/>
        <v>2454</v>
      </c>
      <c r="Q137" s="14">
        <f t="shared" si="20"/>
        <v>2488</v>
      </c>
      <c r="R137" s="14">
        <f t="shared" si="20"/>
        <v>2488</v>
      </c>
      <c r="S137" s="14">
        <f t="shared" si="20"/>
        <v>2538</v>
      </c>
      <c r="T137" s="14">
        <f t="shared" si="20"/>
        <v>2224</v>
      </c>
      <c r="U137" s="14">
        <f t="shared" si="20"/>
        <v>2224</v>
      </c>
      <c r="V137" s="14">
        <f t="shared" ref="V137:W137" si="21">SUM(V138:V150)</f>
        <v>2224</v>
      </c>
      <c r="W137" s="14">
        <f t="shared" si="21"/>
        <v>2224</v>
      </c>
      <c r="X137" s="88">
        <f t="shared" si="19"/>
        <v>5.0402266288951845</v>
      </c>
      <c r="Y137" s="3"/>
    </row>
    <row r="138" spans="1:25" s="15" customFormat="1" ht="20.25" customHeight="1">
      <c r="A138" s="64">
        <v>119</v>
      </c>
      <c r="B138" s="63" t="s">
        <v>83</v>
      </c>
      <c r="C138" s="6" t="s">
        <v>232</v>
      </c>
      <c r="D138" s="62" t="s">
        <v>61</v>
      </c>
      <c r="E138" s="74">
        <v>30</v>
      </c>
      <c r="F138" s="1">
        <v>36</v>
      </c>
      <c r="G138" s="1">
        <v>112</v>
      </c>
      <c r="H138" s="1">
        <v>112</v>
      </c>
      <c r="I138" s="1">
        <v>172</v>
      </c>
      <c r="J138" s="1">
        <v>172</v>
      </c>
      <c r="K138" s="1">
        <v>172</v>
      </c>
      <c r="L138" s="1">
        <v>172</v>
      </c>
      <c r="M138" s="1">
        <v>172</v>
      </c>
      <c r="N138" s="1">
        <v>172</v>
      </c>
      <c r="O138" s="1">
        <v>172</v>
      </c>
      <c r="P138" s="1">
        <v>172</v>
      </c>
      <c r="Q138" s="1">
        <v>172</v>
      </c>
      <c r="R138" s="1">
        <v>172</v>
      </c>
      <c r="S138" s="1">
        <v>172</v>
      </c>
      <c r="T138" s="1">
        <v>172</v>
      </c>
      <c r="U138" s="1">
        <v>172</v>
      </c>
      <c r="V138" s="1">
        <v>172</v>
      </c>
      <c r="W138" s="1">
        <v>172</v>
      </c>
      <c r="X138" s="48">
        <f t="shared" si="19"/>
        <v>0.38980169971671386</v>
      </c>
    </row>
    <row r="139" spans="1:25" s="15" customFormat="1" ht="20.25" customHeight="1">
      <c r="A139" s="64">
        <v>120</v>
      </c>
      <c r="B139" s="63" t="s">
        <v>84</v>
      </c>
      <c r="C139" s="6" t="s">
        <v>233</v>
      </c>
      <c r="D139" s="23" t="s">
        <v>71</v>
      </c>
      <c r="E139" s="74">
        <v>32</v>
      </c>
      <c r="F139" s="1">
        <v>54</v>
      </c>
      <c r="G139" s="1">
        <v>176</v>
      </c>
      <c r="H139" s="1">
        <v>224</v>
      </c>
      <c r="I139" s="1">
        <v>224</v>
      </c>
      <c r="J139" s="1">
        <v>224</v>
      </c>
      <c r="K139" s="1">
        <v>224</v>
      </c>
      <c r="L139" s="1">
        <v>224</v>
      </c>
      <c r="M139" s="1">
        <v>224</v>
      </c>
      <c r="N139" s="1">
        <v>224</v>
      </c>
      <c r="O139" s="1">
        <v>224</v>
      </c>
      <c r="P139" s="1">
        <v>224</v>
      </c>
      <c r="Q139" s="1">
        <v>224</v>
      </c>
      <c r="R139" s="1">
        <v>224</v>
      </c>
      <c r="S139" s="1">
        <v>224</v>
      </c>
      <c r="T139" s="1">
        <v>224</v>
      </c>
      <c r="U139" s="1">
        <v>224</v>
      </c>
      <c r="V139" s="1">
        <v>224</v>
      </c>
      <c r="W139" s="1">
        <v>224</v>
      </c>
      <c r="X139" s="48">
        <f t="shared" si="19"/>
        <v>0.50764872521246462</v>
      </c>
    </row>
    <row r="140" spans="1:25" s="15" customFormat="1" ht="20.25" customHeight="1">
      <c r="A140" s="64">
        <v>121</v>
      </c>
      <c r="B140" s="63" t="s">
        <v>85</v>
      </c>
      <c r="C140" s="6" t="s">
        <v>234</v>
      </c>
      <c r="D140" s="62" t="s">
        <v>86</v>
      </c>
      <c r="E140" s="74">
        <v>50</v>
      </c>
      <c r="F140" s="1">
        <v>77.2</v>
      </c>
      <c r="G140" s="1">
        <v>50</v>
      </c>
      <c r="H140" s="1">
        <v>72</v>
      </c>
      <c r="I140" s="1">
        <v>72</v>
      </c>
      <c r="J140" s="1">
        <v>72</v>
      </c>
      <c r="K140" s="1">
        <v>72</v>
      </c>
      <c r="L140" s="1">
        <v>72</v>
      </c>
      <c r="M140" s="1">
        <v>72</v>
      </c>
      <c r="N140" s="1">
        <v>72</v>
      </c>
      <c r="O140" s="1">
        <v>72</v>
      </c>
      <c r="P140" s="1">
        <v>72</v>
      </c>
      <c r="Q140" s="1">
        <v>72</v>
      </c>
      <c r="R140" s="1">
        <v>72</v>
      </c>
      <c r="S140" s="1">
        <v>72</v>
      </c>
      <c r="T140" s="1">
        <v>72</v>
      </c>
      <c r="U140" s="1">
        <v>72</v>
      </c>
      <c r="V140" s="1">
        <v>72</v>
      </c>
      <c r="W140" s="1">
        <v>72</v>
      </c>
      <c r="X140" s="48">
        <f t="shared" si="19"/>
        <v>0.1631728045325779</v>
      </c>
    </row>
    <row r="141" spans="1:25" s="15" customFormat="1" ht="20.25" customHeight="1">
      <c r="A141" s="64">
        <v>122</v>
      </c>
      <c r="B141" s="63" t="s">
        <v>87</v>
      </c>
      <c r="C141" s="6" t="s">
        <v>235</v>
      </c>
      <c r="D141" s="62" t="s">
        <v>2</v>
      </c>
      <c r="E141" s="74">
        <v>60</v>
      </c>
      <c r="F141" s="1">
        <v>74.599999999999994</v>
      </c>
      <c r="G141" s="1" t="s">
        <v>7</v>
      </c>
      <c r="H141" s="1" t="s">
        <v>7</v>
      </c>
      <c r="I141" s="1" t="s">
        <v>7</v>
      </c>
      <c r="J141" s="1" t="s">
        <v>7</v>
      </c>
      <c r="K141" s="1" t="s">
        <v>7</v>
      </c>
      <c r="L141" s="1" t="s">
        <v>7</v>
      </c>
      <c r="M141" s="1" t="s">
        <v>7</v>
      </c>
      <c r="N141" s="1">
        <v>60</v>
      </c>
      <c r="O141" s="1">
        <v>60</v>
      </c>
      <c r="P141" s="1">
        <v>60</v>
      </c>
      <c r="Q141" s="1">
        <v>60</v>
      </c>
      <c r="R141" s="1">
        <v>60</v>
      </c>
      <c r="S141" s="1">
        <v>60</v>
      </c>
      <c r="T141" s="1">
        <v>60</v>
      </c>
      <c r="U141" s="1">
        <v>60</v>
      </c>
      <c r="V141" s="1">
        <v>60</v>
      </c>
      <c r="W141" s="1">
        <v>60</v>
      </c>
      <c r="X141" s="48">
        <f t="shared" ref="X141:X206" si="22">W141/W$6*100</f>
        <v>0.13597733711048157</v>
      </c>
    </row>
    <row r="142" spans="1:25" s="15" customFormat="1" ht="20.25" customHeight="1">
      <c r="A142" s="64">
        <v>123</v>
      </c>
      <c r="B142" s="63" t="s">
        <v>88</v>
      </c>
      <c r="C142" s="6" t="s">
        <v>236</v>
      </c>
      <c r="D142" s="5" t="s">
        <v>59</v>
      </c>
      <c r="E142" s="74">
        <v>48</v>
      </c>
      <c r="F142" s="1">
        <v>56.3</v>
      </c>
      <c r="G142" s="1">
        <v>580</v>
      </c>
      <c r="H142" s="1">
        <v>580</v>
      </c>
      <c r="I142" s="1">
        <v>580</v>
      </c>
      <c r="J142" s="1">
        <v>580</v>
      </c>
      <c r="K142" s="1">
        <v>580</v>
      </c>
      <c r="L142" s="1">
        <v>580</v>
      </c>
      <c r="M142" s="1">
        <v>580</v>
      </c>
      <c r="N142" s="1">
        <v>580</v>
      </c>
      <c r="O142" s="1">
        <v>580</v>
      </c>
      <c r="P142" s="1">
        <v>790</v>
      </c>
      <c r="Q142" s="1">
        <v>790</v>
      </c>
      <c r="R142" s="1">
        <v>790</v>
      </c>
      <c r="S142" s="1">
        <v>790</v>
      </c>
      <c r="T142" s="1">
        <v>790</v>
      </c>
      <c r="U142" s="1">
        <v>790</v>
      </c>
      <c r="V142" s="1">
        <v>790</v>
      </c>
      <c r="W142" s="1">
        <v>790</v>
      </c>
      <c r="X142" s="48">
        <f t="shared" si="22"/>
        <v>1.7903682719546743</v>
      </c>
    </row>
    <row r="143" spans="1:25" ht="20.25" customHeight="1">
      <c r="A143" s="64">
        <v>124</v>
      </c>
      <c r="B143" s="63" t="s">
        <v>89</v>
      </c>
      <c r="C143" s="6" t="s">
        <v>237</v>
      </c>
      <c r="D143" s="5" t="s">
        <v>50</v>
      </c>
      <c r="E143" s="74">
        <v>48</v>
      </c>
      <c r="F143" s="1">
        <v>63</v>
      </c>
      <c r="G143" s="1">
        <v>150</v>
      </c>
      <c r="H143" s="1">
        <v>150</v>
      </c>
      <c r="I143" s="1">
        <v>150</v>
      </c>
      <c r="J143" s="1">
        <v>150</v>
      </c>
      <c r="K143" s="1">
        <v>150</v>
      </c>
      <c r="L143" s="1">
        <v>150</v>
      </c>
      <c r="M143" s="1">
        <v>150</v>
      </c>
      <c r="N143" s="1">
        <v>150</v>
      </c>
      <c r="O143" s="1">
        <v>150</v>
      </c>
      <c r="P143" s="1">
        <v>150</v>
      </c>
      <c r="Q143" s="1">
        <v>150</v>
      </c>
      <c r="R143" s="1">
        <v>150</v>
      </c>
      <c r="S143" s="1">
        <v>150</v>
      </c>
      <c r="T143" s="1">
        <v>150</v>
      </c>
      <c r="U143" s="1">
        <v>150</v>
      </c>
      <c r="V143" s="1">
        <v>150</v>
      </c>
      <c r="W143" s="1">
        <v>150</v>
      </c>
      <c r="X143" s="48">
        <f t="shared" si="22"/>
        <v>0.33994334277620397</v>
      </c>
    </row>
    <row r="144" spans="1:25" ht="20.25" customHeight="1">
      <c r="A144" s="64"/>
      <c r="B144" s="63" t="s">
        <v>90</v>
      </c>
      <c r="C144" s="6" t="s">
        <v>238</v>
      </c>
      <c r="D144" s="5" t="s">
        <v>91</v>
      </c>
      <c r="E144" s="74">
        <v>70</v>
      </c>
      <c r="F144" s="1">
        <v>77.2</v>
      </c>
      <c r="G144" s="1">
        <v>112</v>
      </c>
      <c r="H144" s="1">
        <v>112</v>
      </c>
      <c r="I144" s="1">
        <v>112</v>
      </c>
      <c r="J144" s="1">
        <v>112</v>
      </c>
      <c r="K144" s="1">
        <v>112</v>
      </c>
      <c r="L144" s="1">
        <v>112</v>
      </c>
      <c r="M144" s="1">
        <v>112</v>
      </c>
      <c r="N144" s="1">
        <v>112</v>
      </c>
      <c r="O144" s="1">
        <v>112</v>
      </c>
      <c r="P144" s="1">
        <v>112</v>
      </c>
      <c r="Q144" s="1">
        <v>112</v>
      </c>
      <c r="R144" s="1">
        <v>112</v>
      </c>
      <c r="S144" s="1">
        <v>112</v>
      </c>
      <c r="T144" s="1">
        <v>0</v>
      </c>
      <c r="U144" s="1">
        <v>0</v>
      </c>
      <c r="V144" s="1">
        <v>0</v>
      </c>
      <c r="W144" s="1">
        <v>0</v>
      </c>
      <c r="X144" s="48">
        <f t="shared" si="22"/>
        <v>0</v>
      </c>
    </row>
    <row r="145" spans="1:26" ht="20.25" customHeight="1">
      <c r="A145" s="64">
        <v>125</v>
      </c>
      <c r="B145" s="63" t="s">
        <v>92</v>
      </c>
      <c r="C145" s="6" t="s">
        <v>239</v>
      </c>
      <c r="D145" s="5" t="s">
        <v>50</v>
      </c>
      <c r="E145" s="74">
        <v>30</v>
      </c>
      <c r="F145" s="1">
        <v>69.2</v>
      </c>
      <c r="G145" s="1">
        <v>76</v>
      </c>
      <c r="H145" s="1">
        <v>76</v>
      </c>
      <c r="I145" s="1">
        <v>76</v>
      </c>
      <c r="J145" s="1">
        <v>76</v>
      </c>
      <c r="K145" s="1">
        <v>76</v>
      </c>
      <c r="L145" s="1">
        <v>76</v>
      </c>
      <c r="M145" s="1">
        <v>76</v>
      </c>
      <c r="N145" s="1">
        <v>76</v>
      </c>
      <c r="O145" s="1">
        <v>104</v>
      </c>
      <c r="P145" s="1">
        <v>104</v>
      </c>
      <c r="Q145" s="1">
        <v>104</v>
      </c>
      <c r="R145" s="1">
        <v>104</v>
      </c>
      <c r="S145" s="1">
        <v>104</v>
      </c>
      <c r="T145" s="1">
        <v>104</v>
      </c>
      <c r="U145" s="1">
        <v>104</v>
      </c>
      <c r="V145" s="1">
        <v>104</v>
      </c>
      <c r="W145" s="1">
        <v>104</v>
      </c>
      <c r="X145" s="48">
        <f t="shared" si="22"/>
        <v>0.23569405099150142</v>
      </c>
    </row>
    <row r="146" spans="1:26" ht="20.25" customHeight="1">
      <c r="A146" s="64">
        <v>126</v>
      </c>
      <c r="B146" s="63" t="s">
        <v>240</v>
      </c>
      <c r="C146" s="6" t="s">
        <v>241</v>
      </c>
      <c r="D146" s="62">
        <v>2014</v>
      </c>
      <c r="E146" s="74">
        <v>168</v>
      </c>
      <c r="F146" s="1">
        <v>60</v>
      </c>
      <c r="G146" s="1" t="s">
        <v>7</v>
      </c>
      <c r="H146" s="1" t="s">
        <v>7</v>
      </c>
      <c r="I146" s="1" t="s">
        <v>7</v>
      </c>
      <c r="J146" s="1" t="s">
        <v>7</v>
      </c>
      <c r="K146" s="1" t="s">
        <v>7</v>
      </c>
      <c r="L146" s="1" t="s">
        <v>7</v>
      </c>
      <c r="M146" s="1">
        <v>168</v>
      </c>
      <c r="N146" s="1">
        <v>168</v>
      </c>
      <c r="O146" s="1">
        <v>168</v>
      </c>
      <c r="P146" s="1">
        <v>168</v>
      </c>
      <c r="Q146" s="1">
        <v>168</v>
      </c>
      <c r="R146" s="1">
        <v>168</v>
      </c>
      <c r="S146" s="1">
        <v>168</v>
      </c>
      <c r="T146" s="1">
        <v>168</v>
      </c>
      <c r="U146" s="1">
        <v>168</v>
      </c>
      <c r="V146" s="1">
        <v>168</v>
      </c>
      <c r="W146" s="1">
        <v>168</v>
      </c>
      <c r="X146" s="48">
        <f t="shared" si="22"/>
        <v>0.38073654390934841</v>
      </c>
    </row>
    <row r="147" spans="1:26" s="15" customFormat="1" ht="20.25" customHeight="1">
      <c r="A147" s="64">
        <v>127</v>
      </c>
      <c r="B147" s="63" t="s">
        <v>336</v>
      </c>
      <c r="C147" s="6" t="s">
        <v>231</v>
      </c>
      <c r="D147" s="23" t="s">
        <v>50</v>
      </c>
      <c r="E147" s="74">
        <v>20</v>
      </c>
      <c r="F147" s="1">
        <v>48.3</v>
      </c>
      <c r="G147" s="1">
        <v>90</v>
      </c>
      <c r="H147" s="1">
        <v>90</v>
      </c>
      <c r="I147" s="1">
        <v>90</v>
      </c>
      <c r="J147" s="1">
        <v>90</v>
      </c>
      <c r="K147" s="1">
        <v>90</v>
      </c>
      <c r="L147" s="1">
        <v>90</v>
      </c>
      <c r="M147" s="1">
        <v>90</v>
      </c>
      <c r="N147" s="1">
        <v>90</v>
      </c>
      <c r="O147" s="1">
        <v>90</v>
      </c>
      <c r="P147" s="1">
        <v>90</v>
      </c>
      <c r="Q147" s="1">
        <v>90</v>
      </c>
      <c r="R147" s="1">
        <v>90</v>
      </c>
      <c r="S147" s="1">
        <v>140</v>
      </c>
      <c r="T147" s="1">
        <v>140</v>
      </c>
      <c r="U147" s="1">
        <v>140</v>
      </c>
      <c r="V147" s="1">
        <v>140</v>
      </c>
      <c r="W147" s="1">
        <v>140</v>
      </c>
      <c r="X147" s="48">
        <f t="shared" si="22"/>
        <v>0.31728045325779036</v>
      </c>
    </row>
    <row r="148" spans="1:26" s="15" customFormat="1" ht="20.25" customHeight="1">
      <c r="A148" s="64"/>
      <c r="B148" s="63" t="s">
        <v>242</v>
      </c>
      <c r="C148" s="6" t="s">
        <v>243</v>
      </c>
      <c r="D148" s="71">
        <v>1989</v>
      </c>
      <c r="E148" s="74">
        <v>22</v>
      </c>
      <c r="F148" s="1">
        <v>80.5</v>
      </c>
      <c r="G148" s="1">
        <v>200</v>
      </c>
      <c r="H148" s="1">
        <v>200</v>
      </c>
      <c r="I148" s="1">
        <v>200</v>
      </c>
      <c r="J148" s="1">
        <v>200</v>
      </c>
      <c r="K148" s="1">
        <v>200</v>
      </c>
      <c r="L148" s="1">
        <v>200</v>
      </c>
      <c r="M148" s="1">
        <v>200</v>
      </c>
      <c r="N148" s="1">
        <v>200</v>
      </c>
      <c r="O148" s="1">
        <v>200</v>
      </c>
      <c r="P148" s="1">
        <v>200</v>
      </c>
      <c r="Q148" s="1">
        <v>200</v>
      </c>
      <c r="R148" s="1">
        <v>200</v>
      </c>
      <c r="S148" s="1">
        <v>200</v>
      </c>
      <c r="T148" s="1">
        <v>0</v>
      </c>
      <c r="U148" s="1">
        <v>0</v>
      </c>
      <c r="V148" s="1">
        <v>0</v>
      </c>
      <c r="W148" s="1">
        <v>0</v>
      </c>
      <c r="X148" s="48">
        <f t="shared" si="22"/>
        <v>0</v>
      </c>
    </row>
    <row r="149" spans="1:26" s="15" customFormat="1" ht="20.25" customHeight="1">
      <c r="A149" s="64">
        <v>128</v>
      </c>
      <c r="B149" s="63" t="s">
        <v>93</v>
      </c>
      <c r="C149" s="6" t="s">
        <v>244</v>
      </c>
      <c r="D149" s="5" t="s">
        <v>94</v>
      </c>
      <c r="E149" s="74">
        <v>34</v>
      </c>
      <c r="F149" s="1">
        <v>51</v>
      </c>
      <c r="G149" s="1">
        <v>148</v>
      </c>
      <c r="H149" s="1">
        <v>148</v>
      </c>
      <c r="I149" s="1">
        <v>148</v>
      </c>
      <c r="J149" s="1">
        <v>148</v>
      </c>
      <c r="K149" s="1">
        <v>148</v>
      </c>
      <c r="L149" s="1">
        <v>148</v>
      </c>
      <c r="M149" s="1">
        <v>148</v>
      </c>
      <c r="N149" s="1">
        <v>148</v>
      </c>
      <c r="O149" s="1">
        <v>148</v>
      </c>
      <c r="P149" s="1">
        <v>148</v>
      </c>
      <c r="Q149" s="1">
        <v>182</v>
      </c>
      <c r="R149" s="1">
        <v>182</v>
      </c>
      <c r="S149" s="1">
        <v>182</v>
      </c>
      <c r="T149" s="1">
        <v>182</v>
      </c>
      <c r="U149" s="1">
        <v>182</v>
      </c>
      <c r="V149" s="1">
        <v>182</v>
      </c>
      <c r="W149" s="1">
        <v>182</v>
      </c>
      <c r="X149" s="48">
        <f t="shared" si="22"/>
        <v>0.41246458923512752</v>
      </c>
      <c r="Y149" s="73"/>
    </row>
    <row r="150" spans="1:26" s="15" customFormat="1" ht="20.25" customHeight="1">
      <c r="A150" s="16">
        <v>129</v>
      </c>
      <c r="B150" s="27" t="s">
        <v>324</v>
      </c>
      <c r="C150" s="37" t="s">
        <v>245</v>
      </c>
      <c r="D150" s="70" t="s">
        <v>61</v>
      </c>
      <c r="E150" s="19">
        <v>90</v>
      </c>
      <c r="F150" s="17">
        <v>72.400000000000006</v>
      </c>
      <c r="G150" s="17">
        <v>164</v>
      </c>
      <c r="H150" s="17">
        <v>164</v>
      </c>
      <c r="I150" s="17">
        <v>164</v>
      </c>
      <c r="J150" s="17">
        <v>164</v>
      </c>
      <c r="K150" s="17">
        <v>164</v>
      </c>
      <c r="L150" s="17">
        <v>164</v>
      </c>
      <c r="M150" s="17">
        <v>164</v>
      </c>
      <c r="N150" s="17">
        <v>164</v>
      </c>
      <c r="O150" s="17">
        <v>164</v>
      </c>
      <c r="P150" s="17">
        <v>164</v>
      </c>
      <c r="Q150" s="17">
        <v>164</v>
      </c>
      <c r="R150" s="17">
        <v>164</v>
      </c>
      <c r="S150" s="17">
        <v>164</v>
      </c>
      <c r="T150" s="17">
        <v>162</v>
      </c>
      <c r="U150" s="17">
        <v>162</v>
      </c>
      <c r="V150" s="17">
        <v>162</v>
      </c>
      <c r="W150" s="17">
        <v>162</v>
      </c>
      <c r="X150" s="93">
        <f t="shared" si="22"/>
        <v>0.3671388101983003</v>
      </c>
      <c r="Y150" s="73"/>
    </row>
    <row r="151" spans="1:26" s="15" customFormat="1" ht="20.25" customHeight="1">
      <c r="A151" s="96"/>
      <c r="B151" s="66" t="s">
        <v>19</v>
      </c>
      <c r="C151" s="65"/>
      <c r="D151" s="14" t="s">
        <v>7</v>
      </c>
      <c r="E151" s="14" t="s">
        <v>7</v>
      </c>
      <c r="F151" s="14" t="s">
        <v>7</v>
      </c>
      <c r="G151" s="14">
        <f t="shared" ref="G151:U151" si="23">SUM(G152:G170)</f>
        <v>3200</v>
      </c>
      <c r="H151" s="14">
        <f t="shared" si="23"/>
        <v>3312</v>
      </c>
      <c r="I151" s="14">
        <f t="shared" si="23"/>
        <v>3538</v>
      </c>
      <c r="J151" s="14">
        <f t="shared" si="23"/>
        <v>3586</v>
      </c>
      <c r="K151" s="14">
        <f t="shared" si="23"/>
        <v>3818</v>
      </c>
      <c r="L151" s="14">
        <f t="shared" si="23"/>
        <v>3818</v>
      </c>
      <c r="M151" s="14">
        <f t="shared" si="23"/>
        <v>3818</v>
      </c>
      <c r="N151" s="14">
        <f t="shared" si="23"/>
        <v>3862</v>
      </c>
      <c r="O151" s="14">
        <f t="shared" si="23"/>
        <v>3982</v>
      </c>
      <c r="P151" s="14">
        <f t="shared" si="23"/>
        <v>3982</v>
      </c>
      <c r="Q151" s="14">
        <f t="shared" si="23"/>
        <v>4036</v>
      </c>
      <c r="R151" s="14">
        <f t="shared" si="23"/>
        <v>4036</v>
      </c>
      <c r="S151" s="14">
        <f t="shared" si="23"/>
        <v>4056</v>
      </c>
      <c r="T151" s="14">
        <f t="shared" si="23"/>
        <v>4350</v>
      </c>
      <c r="U151" s="14">
        <f t="shared" si="23"/>
        <v>4350</v>
      </c>
      <c r="V151" s="14">
        <f t="shared" ref="V151:W151" si="24">SUM(V152:V170)</f>
        <v>4354</v>
      </c>
      <c r="W151" s="14">
        <f t="shared" si="24"/>
        <v>4554</v>
      </c>
      <c r="X151" s="88">
        <f t="shared" si="22"/>
        <v>10.320679886685552</v>
      </c>
      <c r="Y151" s="73"/>
      <c r="Z151" s="41"/>
    </row>
    <row r="152" spans="1:26" s="15" customFormat="1" ht="20.25" customHeight="1">
      <c r="A152" s="64">
        <v>130</v>
      </c>
      <c r="B152" s="63" t="s">
        <v>256</v>
      </c>
      <c r="C152" s="6" t="s">
        <v>257</v>
      </c>
      <c r="D152" s="62">
        <v>1991</v>
      </c>
      <c r="E152" s="74">
        <v>50</v>
      </c>
      <c r="F152" s="1">
        <v>88.5</v>
      </c>
      <c r="G152" s="1">
        <v>60</v>
      </c>
      <c r="H152" s="1">
        <v>60</v>
      </c>
      <c r="I152" s="1">
        <v>60</v>
      </c>
      <c r="J152" s="1">
        <v>60</v>
      </c>
      <c r="K152" s="1">
        <v>60</v>
      </c>
      <c r="L152" s="1">
        <v>60</v>
      </c>
      <c r="M152" s="1">
        <v>60</v>
      </c>
      <c r="N152" s="1">
        <v>60</v>
      </c>
      <c r="O152" s="1">
        <v>120</v>
      </c>
      <c r="P152" s="1">
        <v>120</v>
      </c>
      <c r="Q152" s="1">
        <v>102</v>
      </c>
      <c r="R152" s="1">
        <v>102</v>
      </c>
      <c r="S152" s="1">
        <v>102</v>
      </c>
      <c r="T152" s="1">
        <v>102</v>
      </c>
      <c r="U152" s="1">
        <v>102</v>
      </c>
      <c r="V152" s="1">
        <v>102</v>
      </c>
      <c r="W152" s="1">
        <v>102</v>
      </c>
      <c r="X152" s="48">
        <f t="shared" si="22"/>
        <v>0.2311614730878187</v>
      </c>
      <c r="Y152" s="73"/>
    </row>
    <row r="153" spans="1:26" s="15" customFormat="1" ht="20.25" customHeight="1">
      <c r="A153" s="64">
        <v>131</v>
      </c>
      <c r="B153" s="63" t="s">
        <v>95</v>
      </c>
      <c r="C153" s="6" t="s">
        <v>246</v>
      </c>
      <c r="D153" s="23" t="s">
        <v>91</v>
      </c>
      <c r="E153" s="74">
        <v>100</v>
      </c>
      <c r="F153" s="1">
        <v>85</v>
      </c>
      <c r="G153" s="1">
        <v>140</v>
      </c>
      <c r="H153" s="1">
        <v>140</v>
      </c>
      <c r="I153" s="1">
        <v>140</v>
      </c>
      <c r="J153" s="1">
        <v>140</v>
      </c>
      <c r="K153" s="1">
        <v>140</v>
      </c>
      <c r="L153" s="1">
        <v>140</v>
      </c>
      <c r="M153" s="1">
        <v>140</v>
      </c>
      <c r="N153" s="1">
        <v>180</v>
      </c>
      <c r="O153" s="1">
        <v>180</v>
      </c>
      <c r="P153" s="1">
        <v>180</v>
      </c>
      <c r="Q153" s="1">
        <v>180</v>
      </c>
      <c r="R153" s="1">
        <v>180</v>
      </c>
      <c r="S153" s="1">
        <v>180</v>
      </c>
      <c r="T153" s="1">
        <v>180</v>
      </c>
      <c r="U153" s="1">
        <v>180</v>
      </c>
      <c r="V153" s="1">
        <v>180</v>
      </c>
      <c r="W153" s="1">
        <v>188</v>
      </c>
      <c r="X153" s="48">
        <f t="shared" si="22"/>
        <v>0.42606232294617569</v>
      </c>
      <c r="Y153" s="73"/>
    </row>
    <row r="154" spans="1:26" s="15" customFormat="1" ht="20.25" customHeight="1">
      <c r="A154" s="64">
        <v>132</v>
      </c>
      <c r="B154" s="63" t="s">
        <v>379</v>
      </c>
      <c r="C154" s="6" t="s">
        <v>443</v>
      </c>
      <c r="D154" s="23" t="s">
        <v>367</v>
      </c>
      <c r="E154" s="74">
        <v>200</v>
      </c>
      <c r="F154" s="1">
        <v>115</v>
      </c>
      <c r="G154" s="1" t="s">
        <v>7</v>
      </c>
      <c r="H154" s="1" t="s">
        <v>7</v>
      </c>
      <c r="I154" s="1" t="s">
        <v>7</v>
      </c>
      <c r="J154" s="1" t="s">
        <v>7</v>
      </c>
      <c r="K154" s="1" t="s">
        <v>7</v>
      </c>
      <c r="L154" s="1" t="s">
        <v>7</v>
      </c>
      <c r="M154" s="1" t="s">
        <v>7</v>
      </c>
      <c r="N154" s="1" t="s">
        <v>7</v>
      </c>
      <c r="O154" s="1" t="s">
        <v>7</v>
      </c>
      <c r="P154" s="1" t="s">
        <v>7</v>
      </c>
      <c r="Q154" s="1" t="s">
        <v>7</v>
      </c>
      <c r="R154" s="1" t="s">
        <v>7</v>
      </c>
      <c r="S154" s="1" t="s">
        <v>7</v>
      </c>
      <c r="T154" s="1" t="s">
        <v>7</v>
      </c>
      <c r="U154" s="1" t="s">
        <v>7</v>
      </c>
      <c r="V154" s="1" t="s">
        <v>7</v>
      </c>
      <c r="W154" s="1">
        <v>200</v>
      </c>
      <c r="X154" s="48">
        <f t="shared" si="22"/>
        <v>0.45325779036827191</v>
      </c>
      <c r="Y154" s="73"/>
    </row>
    <row r="155" spans="1:26" s="15" customFormat="1" ht="20.25" customHeight="1">
      <c r="A155" s="64">
        <v>133</v>
      </c>
      <c r="B155" s="63" t="s">
        <v>97</v>
      </c>
      <c r="C155" s="6" t="s">
        <v>249</v>
      </c>
      <c r="D155" s="5" t="s">
        <v>98</v>
      </c>
      <c r="E155" s="74">
        <v>96</v>
      </c>
      <c r="F155" s="1">
        <v>95</v>
      </c>
      <c r="G155" s="1">
        <v>128</v>
      </c>
      <c r="H155" s="1">
        <v>128</v>
      </c>
      <c r="I155" s="1">
        <v>224</v>
      </c>
      <c r="J155" s="1">
        <v>224</v>
      </c>
      <c r="K155" s="1">
        <v>224</v>
      </c>
      <c r="L155" s="1">
        <v>224</v>
      </c>
      <c r="M155" s="1">
        <v>224</v>
      </c>
      <c r="N155" s="1">
        <v>224</v>
      </c>
      <c r="O155" s="1">
        <v>224</v>
      </c>
      <c r="P155" s="1">
        <v>224</v>
      </c>
      <c r="Q155" s="1">
        <v>224</v>
      </c>
      <c r="R155" s="1">
        <v>224</v>
      </c>
      <c r="S155" s="1">
        <v>224</v>
      </c>
      <c r="T155" s="1">
        <v>224</v>
      </c>
      <c r="U155" s="1">
        <v>224</v>
      </c>
      <c r="V155" s="1">
        <v>224</v>
      </c>
      <c r="W155" s="1">
        <v>224</v>
      </c>
      <c r="X155" s="48">
        <f t="shared" si="22"/>
        <v>0.50764872521246462</v>
      </c>
      <c r="Y155" s="73"/>
    </row>
    <row r="156" spans="1:26" s="15" customFormat="1" ht="20.25" customHeight="1">
      <c r="A156" s="64">
        <v>134</v>
      </c>
      <c r="B156" s="63" t="s">
        <v>250</v>
      </c>
      <c r="C156" s="6" t="s">
        <v>251</v>
      </c>
      <c r="D156" s="71">
        <v>1992</v>
      </c>
      <c r="E156" s="74">
        <v>80</v>
      </c>
      <c r="F156" s="1">
        <v>96.6</v>
      </c>
      <c r="G156" s="1">
        <v>304</v>
      </c>
      <c r="H156" s="1">
        <v>304</v>
      </c>
      <c r="I156" s="1">
        <v>304</v>
      </c>
      <c r="J156" s="1">
        <v>304</v>
      </c>
      <c r="K156" s="1">
        <v>304</v>
      </c>
      <c r="L156" s="1">
        <v>304</v>
      </c>
      <c r="M156" s="1">
        <v>304</v>
      </c>
      <c r="N156" s="1">
        <v>304</v>
      </c>
      <c r="O156" s="1">
        <v>304</v>
      </c>
      <c r="P156" s="1">
        <v>304</v>
      </c>
      <c r="Q156" s="1">
        <v>304</v>
      </c>
      <c r="R156" s="1">
        <v>304</v>
      </c>
      <c r="S156" s="1">
        <v>304</v>
      </c>
      <c r="T156" s="1">
        <v>310</v>
      </c>
      <c r="U156" s="1">
        <v>310</v>
      </c>
      <c r="V156" s="1">
        <v>310</v>
      </c>
      <c r="W156" s="1">
        <v>310</v>
      </c>
      <c r="X156" s="48">
        <f t="shared" si="22"/>
        <v>0.7025495750708215</v>
      </c>
      <c r="Y156" s="73"/>
    </row>
    <row r="157" spans="1:26" s="15" customFormat="1" ht="20.25" customHeight="1">
      <c r="A157" s="64">
        <v>135</v>
      </c>
      <c r="B157" s="63" t="s">
        <v>99</v>
      </c>
      <c r="C157" s="6" t="s">
        <v>252</v>
      </c>
      <c r="D157" s="5" t="s">
        <v>96</v>
      </c>
      <c r="E157" s="1">
        <v>84</v>
      </c>
      <c r="F157" s="1">
        <v>80</v>
      </c>
      <c r="G157" s="1">
        <v>124</v>
      </c>
      <c r="H157" s="1">
        <v>124</v>
      </c>
      <c r="I157" s="1">
        <v>124</v>
      </c>
      <c r="J157" s="1">
        <v>124</v>
      </c>
      <c r="K157" s="1">
        <v>220</v>
      </c>
      <c r="L157" s="1">
        <v>220</v>
      </c>
      <c r="M157" s="1">
        <v>220</v>
      </c>
      <c r="N157" s="1">
        <v>220</v>
      </c>
      <c r="O157" s="1">
        <v>220</v>
      </c>
      <c r="P157" s="1">
        <v>220</v>
      </c>
      <c r="Q157" s="1">
        <v>220</v>
      </c>
      <c r="R157" s="1">
        <v>220</v>
      </c>
      <c r="S157" s="1">
        <v>220</v>
      </c>
      <c r="T157" s="1">
        <v>220</v>
      </c>
      <c r="U157" s="1">
        <v>220</v>
      </c>
      <c r="V157" s="1">
        <v>220</v>
      </c>
      <c r="W157" s="1">
        <v>220</v>
      </c>
      <c r="X157" s="48">
        <f t="shared" si="22"/>
        <v>0.49858356940509913</v>
      </c>
      <c r="Y157" s="73"/>
    </row>
    <row r="158" spans="1:26" s="15" customFormat="1" ht="20.25" customHeight="1">
      <c r="A158" s="64">
        <v>136</v>
      </c>
      <c r="B158" s="63" t="s">
        <v>247</v>
      </c>
      <c r="C158" s="6" t="s">
        <v>248</v>
      </c>
      <c r="D158" s="23" t="s">
        <v>96</v>
      </c>
      <c r="E158" s="74">
        <v>79</v>
      </c>
      <c r="F158" s="1">
        <v>90</v>
      </c>
      <c r="G158" s="1">
        <v>98</v>
      </c>
      <c r="H158" s="1">
        <v>98</v>
      </c>
      <c r="I158" s="1">
        <v>98</v>
      </c>
      <c r="J158" s="1">
        <v>146</v>
      </c>
      <c r="K158" s="1">
        <v>146</v>
      </c>
      <c r="L158" s="1">
        <v>146</v>
      </c>
      <c r="M158" s="1">
        <v>146</v>
      </c>
      <c r="N158" s="1">
        <v>146</v>
      </c>
      <c r="O158" s="1">
        <v>146</v>
      </c>
      <c r="P158" s="1">
        <v>146</v>
      </c>
      <c r="Q158" s="1">
        <v>146</v>
      </c>
      <c r="R158" s="1">
        <v>146</v>
      </c>
      <c r="S158" s="1">
        <v>146</v>
      </c>
      <c r="T158" s="1">
        <v>146</v>
      </c>
      <c r="U158" s="1">
        <v>146</v>
      </c>
      <c r="V158" s="1">
        <v>146</v>
      </c>
      <c r="W158" s="1">
        <v>146</v>
      </c>
      <c r="X158" s="48">
        <f t="shared" si="22"/>
        <v>0.33087818696883853</v>
      </c>
      <c r="Y158" s="73"/>
    </row>
    <row r="159" spans="1:26" s="15" customFormat="1" ht="20.25" customHeight="1">
      <c r="A159" s="64">
        <v>137</v>
      </c>
      <c r="B159" s="63" t="s">
        <v>266</v>
      </c>
      <c r="C159" s="6" t="s">
        <v>267</v>
      </c>
      <c r="D159" s="5" t="s">
        <v>96</v>
      </c>
      <c r="E159" s="1">
        <v>74</v>
      </c>
      <c r="F159" s="1">
        <v>80.5</v>
      </c>
      <c r="G159" s="1">
        <v>94</v>
      </c>
      <c r="H159" s="1">
        <v>94</v>
      </c>
      <c r="I159" s="1">
        <v>94</v>
      </c>
      <c r="J159" s="1">
        <v>94</v>
      </c>
      <c r="K159" s="1">
        <v>144</v>
      </c>
      <c r="L159" s="1">
        <v>144</v>
      </c>
      <c r="M159" s="1">
        <v>144</v>
      </c>
      <c r="N159" s="1">
        <v>144</v>
      </c>
      <c r="O159" s="1">
        <v>144</v>
      </c>
      <c r="P159" s="1">
        <v>144</v>
      </c>
      <c r="Q159" s="1">
        <v>144</v>
      </c>
      <c r="R159" s="1">
        <v>144</v>
      </c>
      <c r="S159" s="1">
        <v>144</v>
      </c>
      <c r="T159" s="1">
        <v>144</v>
      </c>
      <c r="U159" s="1">
        <v>144</v>
      </c>
      <c r="V159" s="1">
        <v>144</v>
      </c>
      <c r="W159" s="1">
        <v>144</v>
      </c>
      <c r="X159" s="48">
        <f t="shared" si="22"/>
        <v>0.32634560906515581</v>
      </c>
      <c r="Y159" s="73"/>
    </row>
    <row r="160" spans="1:26" s="15" customFormat="1" ht="20.25" customHeight="1">
      <c r="A160" s="64">
        <v>138</v>
      </c>
      <c r="B160" s="63" t="s">
        <v>253</v>
      </c>
      <c r="C160" s="6" t="s">
        <v>254</v>
      </c>
      <c r="D160" s="71">
        <v>2015</v>
      </c>
      <c r="E160" s="74">
        <v>60</v>
      </c>
      <c r="F160" s="1">
        <v>90</v>
      </c>
      <c r="G160" s="1" t="s">
        <v>7</v>
      </c>
      <c r="H160" s="1" t="s">
        <v>7</v>
      </c>
      <c r="I160" s="1" t="s">
        <v>7</v>
      </c>
      <c r="J160" s="1" t="s">
        <v>7</v>
      </c>
      <c r="K160" s="1" t="s">
        <v>7</v>
      </c>
      <c r="L160" s="1" t="s">
        <v>7</v>
      </c>
      <c r="M160" s="1" t="s">
        <v>7</v>
      </c>
      <c r="N160" s="1" t="s">
        <v>7</v>
      </c>
      <c r="O160" s="1">
        <v>60</v>
      </c>
      <c r="P160" s="1">
        <v>60</v>
      </c>
      <c r="Q160" s="1">
        <v>60</v>
      </c>
      <c r="R160" s="1">
        <v>60</v>
      </c>
      <c r="S160" s="1">
        <v>60</v>
      </c>
      <c r="T160" s="1">
        <v>60</v>
      </c>
      <c r="U160" s="1">
        <v>60</v>
      </c>
      <c r="V160" s="1">
        <v>60</v>
      </c>
      <c r="W160" s="1">
        <v>60</v>
      </c>
      <c r="X160" s="48">
        <f t="shared" si="22"/>
        <v>0.13597733711048157</v>
      </c>
      <c r="Y160" s="73"/>
    </row>
    <row r="161" spans="1:25" s="15" customFormat="1" ht="20.25" customHeight="1">
      <c r="A161" s="64">
        <v>139</v>
      </c>
      <c r="B161" s="63" t="s">
        <v>100</v>
      </c>
      <c r="C161" s="6" t="s">
        <v>255</v>
      </c>
      <c r="D161" s="62">
        <v>1994</v>
      </c>
      <c r="E161" s="74">
        <v>284</v>
      </c>
      <c r="F161" s="1">
        <v>93</v>
      </c>
      <c r="G161" s="1">
        <v>284</v>
      </c>
      <c r="H161" s="1">
        <v>284</v>
      </c>
      <c r="I161" s="1">
        <v>284</v>
      </c>
      <c r="J161" s="1">
        <v>284</v>
      </c>
      <c r="K161" s="1">
        <v>284</v>
      </c>
      <c r="L161" s="1">
        <v>284</v>
      </c>
      <c r="M161" s="1">
        <v>284</v>
      </c>
      <c r="N161" s="1">
        <v>284</v>
      </c>
      <c r="O161" s="1">
        <v>284</v>
      </c>
      <c r="P161" s="1">
        <v>284</v>
      </c>
      <c r="Q161" s="1">
        <v>284</v>
      </c>
      <c r="R161" s="1">
        <v>284</v>
      </c>
      <c r="S161" s="1">
        <v>284</v>
      </c>
      <c r="T161" s="1">
        <v>284</v>
      </c>
      <c r="U161" s="1">
        <v>284</v>
      </c>
      <c r="V161" s="1">
        <v>284</v>
      </c>
      <c r="W161" s="1">
        <v>284</v>
      </c>
      <c r="X161" s="48">
        <f t="shared" si="22"/>
        <v>0.64362606232294617</v>
      </c>
      <c r="Y161" s="73"/>
    </row>
    <row r="162" spans="1:25" ht="20.25" customHeight="1">
      <c r="A162" s="64">
        <v>140</v>
      </c>
      <c r="B162" s="63" t="s">
        <v>101</v>
      </c>
      <c r="C162" s="6" t="s">
        <v>258</v>
      </c>
      <c r="D162" s="71">
        <v>1994</v>
      </c>
      <c r="E162" s="74">
        <v>168</v>
      </c>
      <c r="F162" s="1">
        <v>85</v>
      </c>
      <c r="G162" s="1">
        <v>170</v>
      </c>
      <c r="H162" s="1">
        <v>170</v>
      </c>
      <c r="I162" s="1">
        <v>250</v>
      </c>
      <c r="J162" s="1">
        <v>250</v>
      </c>
      <c r="K162" s="1">
        <v>250</v>
      </c>
      <c r="L162" s="1">
        <v>250</v>
      </c>
      <c r="M162" s="1">
        <v>250</v>
      </c>
      <c r="N162" s="1">
        <v>250</v>
      </c>
      <c r="O162" s="1">
        <v>250</v>
      </c>
      <c r="P162" s="1">
        <v>250</v>
      </c>
      <c r="Q162" s="1">
        <v>250</v>
      </c>
      <c r="R162" s="1">
        <v>250</v>
      </c>
      <c r="S162" s="1">
        <v>250</v>
      </c>
      <c r="T162" s="1">
        <v>250</v>
      </c>
      <c r="U162" s="1">
        <v>250</v>
      </c>
      <c r="V162" s="1">
        <v>250</v>
      </c>
      <c r="W162" s="1">
        <v>250</v>
      </c>
      <c r="X162" s="48">
        <f t="shared" si="22"/>
        <v>0.56657223796033995</v>
      </c>
      <c r="Y162" s="73"/>
    </row>
    <row r="163" spans="1:25" ht="20.25" customHeight="1">
      <c r="A163" s="64">
        <v>141</v>
      </c>
      <c r="B163" s="63" t="s">
        <v>259</v>
      </c>
      <c r="C163" s="6" t="s">
        <v>260</v>
      </c>
      <c r="D163" s="23">
        <v>1988</v>
      </c>
      <c r="E163" s="74">
        <v>180</v>
      </c>
      <c r="F163" s="1">
        <v>104</v>
      </c>
      <c r="G163" s="1">
        <v>282</v>
      </c>
      <c r="H163" s="1">
        <v>394</v>
      </c>
      <c r="I163" s="1">
        <v>394</v>
      </c>
      <c r="J163" s="1">
        <v>394</v>
      </c>
      <c r="K163" s="1">
        <v>394</v>
      </c>
      <c r="L163" s="1">
        <v>394</v>
      </c>
      <c r="M163" s="1">
        <v>394</v>
      </c>
      <c r="N163" s="1">
        <v>394</v>
      </c>
      <c r="O163" s="1">
        <v>394</v>
      </c>
      <c r="P163" s="1">
        <v>394</v>
      </c>
      <c r="Q163" s="1">
        <v>394</v>
      </c>
      <c r="R163" s="1">
        <v>394</v>
      </c>
      <c r="S163" s="1">
        <v>394</v>
      </c>
      <c r="T163" s="1">
        <v>394</v>
      </c>
      <c r="U163" s="1">
        <v>394</v>
      </c>
      <c r="V163" s="1">
        <v>394</v>
      </c>
      <c r="W163" s="1">
        <v>386</v>
      </c>
      <c r="X163" s="48">
        <f t="shared" si="22"/>
        <v>0.87478753541076482</v>
      </c>
      <c r="Y163" s="73"/>
    </row>
    <row r="164" spans="1:25" ht="20.25" customHeight="1">
      <c r="A164" s="64">
        <v>142</v>
      </c>
      <c r="B164" s="63" t="s">
        <v>327</v>
      </c>
      <c r="C164" s="6" t="s">
        <v>268</v>
      </c>
      <c r="D164" s="5" t="s">
        <v>103</v>
      </c>
      <c r="E164" s="1">
        <v>60</v>
      </c>
      <c r="F164" s="1">
        <v>54.7</v>
      </c>
      <c r="G164" s="1">
        <v>98</v>
      </c>
      <c r="H164" s="1">
        <v>98</v>
      </c>
      <c r="I164" s="1">
        <v>98</v>
      </c>
      <c r="J164" s="1">
        <v>98</v>
      </c>
      <c r="K164" s="1">
        <v>98</v>
      </c>
      <c r="L164" s="1">
        <v>98</v>
      </c>
      <c r="M164" s="1">
        <v>98</v>
      </c>
      <c r="N164" s="1">
        <v>98</v>
      </c>
      <c r="O164" s="1">
        <v>98</v>
      </c>
      <c r="P164" s="1">
        <v>98</v>
      </c>
      <c r="Q164" s="1">
        <v>98</v>
      </c>
      <c r="R164" s="1">
        <v>98</v>
      </c>
      <c r="S164" s="1">
        <v>98</v>
      </c>
      <c r="T164" s="1">
        <v>178</v>
      </c>
      <c r="U164" s="1">
        <v>178</v>
      </c>
      <c r="V164" s="1">
        <v>178</v>
      </c>
      <c r="W164" s="1">
        <v>178</v>
      </c>
      <c r="X164" s="48">
        <f t="shared" si="22"/>
        <v>0.40339943342776202</v>
      </c>
      <c r="Y164" s="73"/>
    </row>
    <row r="165" spans="1:25" ht="20.25" customHeight="1">
      <c r="A165" s="64">
        <v>143</v>
      </c>
      <c r="B165" s="63" t="s">
        <v>102</v>
      </c>
      <c r="C165" s="6" t="s">
        <v>261</v>
      </c>
      <c r="D165" s="5" t="s">
        <v>91</v>
      </c>
      <c r="E165" s="74">
        <v>36</v>
      </c>
      <c r="F165" s="1">
        <v>112.6</v>
      </c>
      <c r="G165" s="1">
        <v>72</v>
      </c>
      <c r="H165" s="1">
        <v>72</v>
      </c>
      <c r="I165" s="1">
        <v>72</v>
      </c>
      <c r="J165" s="1">
        <v>72</v>
      </c>
      <c r="K165" s="1">
        <v>72</v>
      </c>
      <c r="L165" s="1">
        <v>72</v>
      </c>
      <c r="M165" s="1">
        <v>72</v>
      </c>
      <c r="N165" s="1">
        <v>76</v>
      </c>
      <c r="O165" s="1">
        <v>76</v>
      </c>
      <c r="P165" s="1">
        <v>76</v>
      </c>
      <c r="Q165" s="1">
        <v>76</v>
      </c>
      <c r="R165" s="1">
        <v>76</v>
      </c>
      <c r="S165" s="1">
        <v>76</v>
      </c>
      <c r="T165" s="1">
        <v>76</v>
      </c>
      <c r="U165" s="1">
        <v>76</v>
      </c>
      <c r="V165" s="1">
        <v>76</v>
      </c>
      <c r="W165" s="1">
        <v>76</v>
      </c>
      <c r="X165" s="48">
        <f t="shared" si="22"/>
        <v>0.17223796033994335</v>
      </c>
      <c r="Y165" s="73"/>
    </row>
    <row r="166" spans="1:25" ht="20.25" customHeight="1">
      <c r="A166" s="64">
        <v>144</v>
      </c>
      <c r="B166" s="63" t="s">
        <v>325</v>
      </c>
      <c r="C166" s="6" t="s">
        <v>326</v>
      </c>
      <c r="D166" s="71">
        <v>2020</v>
      </c>
      <c r="E166" s="74">
        <v>232</v>
      </c>
      <c r="F166" s="1">
        <v>115</v>
      </c>
      <c r="G166" s="1" t="s">
        <v>7</v>
      </c>
      <c r="H166" s="1" t="s">
        <v>7</v>
      </c>
      <c r="I166" s="1" t="s">
        <v>7</v>
      </c>
      <c r="J166" s="1" t="s">
        <v>7</v>
      </c>
      <c r="K166" s="1" t="s">
        <v>7</v>
      </c>
      <c r="L166" s="1" t="s">
        <v>7</v>
      </c>
      <c r="M166" s="1" t="s">
        <v>7</v>
      </c>
      <c r="N166" s="1" t="s">
        <v>7</v>
      </c>
      <c r="O166" s="1" t="s">
        <v>7</v>
      </c>
      <c r="P166" s="1" t="s">
        <v>7</v>
      </c>
      <c r="Q166" s="1" t="s">
        <v>7</v>
      </c>
      <c r="R166" s="1" t="s">
        <v>7</v>
      </c>
      <c r="S166" s="1" t="s">
        <v>7</v>
      </c>
      <c r="T166" s="1">
        <v>320</v>
      </c>
      <c r="U166" s="1">
        <v>320</v>
      </c>
      <c r="V166" s="1">
        <v>320</v>
      </c>
      <c r="W166" s="1">
        <v>320</v>
      </c>
      <c r="X166" s="48">
        <f t="shared" si="22"/>
        <v>0.72521246458923516</v>
      </c>
      <c r="Y166" s="73"/>
    </row>
    <row r="167" spans="1:25" ht="20.25" customHeight="1">
      <c r="A167" s="64"/>
      <c r="B167" s="63" t="s">
        <v>262</v>
      </c>
      <c r="C167" s="6" t="s">
        <v>263</v>
      </c>
      <c r="D167" s="71">
        <v>1991</v>
      </c>
      <c r="E167" s="74">
        <v>112</v>
      </c>
      <c r="F167" s="1">
        <v>77</v>
      </c>
      <c r="G167" s="1">
        <v>112</v>
      </c>
      <c r="H167" s="1">
        <v>112</v>
      </c>
      <c r="I167" s="1">
        <v>112</v>
      </c>
      <c r="J167" s="1">
        <v>112</v>
      </c>
      <c r="K167" s="1">
        <v>112</v>
      </c>
      <c r="L167" s="1">
        <v>112</v>
      </c>
      <c r="M167" s="1">
        <v>112</v>
      </c>
      <c r="N167" s="1">
        <v>112</v>
      </c>
      <c r="O167" s="1">
        <v>112</v>
      </c>
      <c r="P167" s="1">
        <v>112</v>
      </c>
      <c r="Q167" s="1">
        <v>112</v>
      </c>
      <c r="R167" s="1">
        <v>112</v>
      </c>
      <c r="S167" s="1">
        <v>112</v>
      </c>
      <c r="T167" s="1">
        <v>0</v>
      </c>
      <c r="U167" s="1">
        <v>0</v>
      </c>
      <c r="V167" s="1">
        <v>0</v>
      </c>
      <c r="W167" s="1">
        <v>0</v>
      </c>
      <c r="X167" s="48">
        <f t="shared" si="22"/>
        <v>0</v>
      </c>
      <c r="Y167" s="73"/>
    </row>
    <row r="168" spans="1:25" s="15" customFormat="1" ht="20.25" customHeight="1">
      <c r="A168" s="64">
        <v>145</v>
      </c>
      <c r="B168" s="63" t="s">
        <v>264</v>
      </c>
      <c r="C168" s="6" t="s">
        <v>265</v>
      </c>
      <c r="D168" s="71">
        <v>1998</v>
      </c>
      <c r="E168" s="1">
        <v>700</v>
      </c>
      <c r="F168" s="1">
        <v>99.8</v>
      </c>
      <c r="G168" s="1">
        <v>852</v>
      </c>
      <c r="H168" s="1">
        <v>852</v>
      </c>
      <c r="I168" s="1">
        <v>852</v>
      </c>
      <c r="J168" s="1">
        <v>852</v>
      </c>
      <c r="K168" s="1">
        <v>852</v>
      </c>
      <c r="L168" s="1">
        <v>852</v>
      </c>
      <c r="M168" s="1">
        <v>852</v>
      </c>
      <c r="N168" s="1">
        <v>852</v>
      </c>
      <c r="O168" s="1">
        <v>852</v>
      </c>
      <c r="P168" s="1">
        <v>852</v>
      </c>
      <c r="Q168" s="1">
        <v>924</v>
      </c>
      <c r="R168" s="1">
        <v>924</v>
      </c>
      <c r="S168" s="1">
        <v>924</v>
      </c>
      <c r="T168" s="1">
        <v>924</v>
      </c>
      <c r="U168" s="1">
        <v>924</v>
      </c>
      <c r="V168" s="1">
        <v>924</v>
      </c>
      <c r="W168" s="1">
        <v>924</v>
      </c>
      <c r="X168" s="48">
        <f t="shared" si="22"/>
        <v>2.0940509915014163</v>
      </c>
      <c r="Y168" s="73"/>
    </row>
    <row r="169" spans="1:25" s="15" customFormat="1" ht="20.25" customHeight="1">
      <c r="A169" s="64">
        <v>146</v>
      </c>
      <c r="B169" s="63" t="s">
        <v>104</v>
      </c>
      <c r="C169" s="6" t="s">
        <v>269</v>
      </c>
      <c r="D169" s="71">
        <v>1994</v>
      </c>
      <c r="E169" s="1">
        <v>100</v>
      </c>
      <c r="F169" s="1">
        <v>90</v>
      </c>
      <c r="G169" s="1">
        <v>100</v>
      </c>
      <c r="H169" s="1">
        <v>100</v>
      </c>
      <c r="I169" s="1">
        <v>150</v>
      </c>
      <c r="J169" s="1">
        <v>150</v>
      </c>
      <c r="K169" s="1">
        <v>150</v>
      </c>
      <c r="L169" s="1">
        <v>150</v>
      </c>
      <c r="M169" s="1">
        <v>150</v>
      </c>
      <c r="N169" s="1">
        <v>150</v>
      </c>
      <c r="O169" s="1">
        <v>150</v>
      </c>
      <c r="P169" s="1">
        <v>150</v>
      </c>
      <c r="Q169" s="1">
        <v>150</v>
      </c>
      <c r="R169" s="1">
        <v>150</v>
      </c>
      <c r="S169" s="1">
        <v>150</v>
      </c>
      <c r="T169" s="1">
        <v>150</v>
      </c>
      <c r="U169" s="1">
        <v>150</v>
      </c>
      <c r="V169" s="1">
        <v>154</v>
      </c>
      <c r="W169" s="1">
        <v>154</v>
      </c>
      <c r="X169" s="48">
        <f t="shared" si="22"/>
        <v>0.34900849858356942</v>
      </c>
    </row>
    <row r="170" spans="1:25" ht="20.25" customHeight="1">
      <c r="A170" s="16">
        <v>147</v>
      </c>
      <c r="B170" s="27" t="s">
        <v>105</v>
      </c>
      <c r="C170" s="37" t="s">
        <v>270</v>
      </c>
      <c r="D170" s="72">
        <v>1994</v>
      </c>
      <c r="E170" s="17">
        <v>200</v>
      </c>
      <c r="F170" s="17">
        <v>48.3</v>
      </c>
      <c r="G170" s="17">
        <v>282</v>
      </c>
      <c r="H170" s="17">
        <v>282</v>
      </c>
      <c r="I170" s="17">
        <v>282</v>
      </c>
      <c r="J170" s="17">
        <v>282</v>
      </c>
      <c r="K170" s="17">
        <v>368</v>
      </c>
      <c r="L170" s="17">
        <v>368</v>
      </c>
      <c r="M170" s="17">
        <v>368</v>
      </c>
      <c r="N170" s="17">
        <v>368</v>
      </c>
      <c r="O170" s="17">
        <v>368</v>
      </c>
      <c r="P170" s="17">
        <v>368</v>
      </c>
      <c r="Q170" s="17">
        <v>368</v>
      </c>
      <c r="R170" s="17">
        <v>368</v>
      </c>
      <c r="S170" s="17">
        <v>388</v>
      </c>
      <c r="T170" s="17">
        <v>388</v>
      </c>
      <c r="U170" s="17">
        <v>388</v>
      </c>
      <c r="V170" s="17">
        <v>388</v>
      </c>
      <c r="W170" s="17">
        <v>388</v>
      </c>
      <c r="X170" s="93">
        <f t="shared" si="22"/>
        <v>0.87932011331444748</v>
      </c>
    </row>
    <row r="171" spans="1:25" s="15" customFormat="1" ht="20.25" customHeight="1">
      <c r="A171" s="64"/>
      <c r="B171" s="66" t="s">
        <v>20</v>
      </c>
      <c r="C171" s="65"/>
      <c r="D171" s="14" t="s">
        <v>7</v>
      </c>
      <c r="E171" s="14" t="s">
        <v>7</v>
      </c>
      <c r="F171" s="14" t="s">
        <v>7</v>
      </c>
      <c r="G171" s="51">
        <f t="shared" ref="G171:U171" si="25">SUM(G172:G176)</f>
        <v>350</v>
      </c>
      <c r="H171" s="51">
        <f t="shared" si="25"/>
        <v>350</v>
      </c>
      <c r="I171" s="51">
        <f t="shared" si="25"/>
        <v>350</v>
      </c>
      <c r="J171" s="51">
        <f t="shared" si="25"/>
        <v>350</v>
      </c>
      <c r="K171" s="51">
        <f t="shared" si="25"/>
        <v>350</v>
      </c>
      <c r="L171" s="51">
        <f t="shared" si="25"/>
        <v>402</v>
      </c>
      <c r="M171" s="51">
        <f t="shared" si="25"/>
        <v>402</v>
      </c>
      <c r="N171" s="51">
        <f t="shared" si="25"/>
        <v>402</v>
      </c>
      <c r="O171" s="51">
        <f t="shared" si="25"/>
        <v>402</v>
      </c>
      <c r="P171" s="51">
        <f t="shared" si="25"/>
        <v>434</v>
      </c>
      <c r="Q171" s="51">
        <f t="shared" si="25"/>
        <v>434</v>
      </c>
      <c r="R171" s="51">
        <f t="shared" si="25"/>
        <v>434</v>
      </c>
      <c r="S171" s="51">
        <f t="shared" si="25"/>
        <v>614</v>
      </c>
      <c r="T171" s="51">
        <f t="shared" si="25"/>
        <v>614</v>
      </c>
      <c r="U171" s="51">
        <f t="shared" si="25"/>
        <v>694</v>
      </c>
      <c r="V171" s="51">
        <f t="shared" ref="V171:W171" si="26">SUM(V172:V176)</f>
        <v>694</v>
      </c>
      <c r="W171" s="51">
        <f t="shared" si="26"/>
        <v>794</v>
      </c>
      <c r="X171" s="86">
        <f t="shared" si="22"/>
        <v>1.7994334277620396</v>
      </c>
    </row>
    <row r="172" spans="1:25" ht="20.25" customHeight="1">
      <c r="A172" s="64">
        <v>148</v>
      </c>
      <c r="B172" s="63" t="s">
        <v>106</v>
      </c>
      <c r="C172" s="6" t="s">
        <v>271</v>
      </c>
      <c r="D172" s="23" t="s">
        <v>107</v>
      </c>
      <c r="E172" s="1">
        <v>20</v>
      </c>
      <c r="F172" s="1">
        <v>48</v>
      </c>
      <c r="G172" s="1">
        <v>260</v>
      </c>
      <c r="H172" s="1">
        <v>260</v>
      </c>
      <c r="I172" s="1">
        <v>260</v>
      </c>
      <c r="J172" s="1">
        <v>260</v>
      </c>
      <c r="K172" s="1">
        <v>260</v>
      </c>
      <c r="L172" s="1">
        <v>312</v>
      </c>
      <c r="M172" s="1">
        <v>312</v>
      </c>
      <c r="N172" s="1">
        <v>312</v>
      </c>
      <c r="O172" s="1">
        <v>312</v>
      </c>
      <c r="P172" s="1">
        <v>312</v>
      </c>
      <c r="Q172" s="1">
        <v>312</v>
      </c>
      <c r="R172" s="1">
        <v>312</v>
      </c>
      <c r="S172" s="1">
        <v>312</v>
      </c>
      <c r="T172" s="1">
        <v>312</v>
      </c>
      <c r="U172" s="1">
        <v>312</v>
      </c>
      <c r="V172" s="1">
        <v>312</v>
      </c>
      <c r="W172" s="1">
        <v>312</v>
      </c>
      <c r="X172" s="48">
        <f t="shared" si="22"/>
        <v>0.70708215297450427</v>
      </c>
    </row>
    <row r="173" spans="1:25" ht="20.25" customHeight="1">
      <c r="A173" s="64">
        <v>149</v>
      </c>
      <c r="B173" s="63" t="s">
        <v>272</v>
      </c>
      <c r="C173" s="6" t="s">
        <v>273</v>
      </c>
      <c r="D173" s="23" t="s">
        <v>114</v>
      </c>
      <c r="E173" s="1">
        <v>180</v>
      </c>
      <c r="F173" s="1">
        <v>76.599999999999994</v>
      </c>
      <c r="G173" s="1" t="s">
        <v>7</v>
      </c>
      <c r="H173" s="1" t="s">
        <v>7</v>
      </c>
      <c r="I173" s="1" t="s">
        <v>7</v>
      </c>
      <c r="J173" s="1" t="s">
        <v>7</v>
      </c>
      <c r="K173" s="1" t="s">
        <v>7</v>
      </c>
      <c r="L173" s="1" t="s">
        <v>7</v>
      </c>
      <c r="M173" s="1" t="s">
        <v>7</v>
      </c>
      <c r="N173" s="1" t="s">
        <v>7</v>
      </c>
      <c r="O173" s="1" t="s">
        <v>7</v>
      </c>
      <c r="P173" s="1" t="s">
        <v>7</v>
      </c>
      <c r="Q173" s="1" t="s">
        <v>7</v>
      </c>
      <c r="R173" s="1" t="s">
        <v>7</v>
      </c>
      <c r="S173" s="1">
        <v>180</v>
      </c>
      <c r="T173" s="1">
        <v>180</v>
      </c>
      <c r="U173" s="1">
        <v>180</v>
      </c>
      <c r="V173" s="1">
        <v>180</v>
      </c>
      <c r="W173" s="1">
        <v>180</v>
      </c>
      <c r="X173" s="48">
        <f t="shared" si="22"/>
        <v>0.40793201133144474</v>
      </c>
    </row>
    <row r="174" spans="1:25" ht="20.25" customHeight="1">
      <c r="A174" s="64">
        <v>150</v>
      </c>
      <c r="B174" s="63" t="s">
        <v>337</v>
      </c>
      <c r="C174" s="6" t="s">
        <v>442</v>
      </c>
      <c r="D174" s="23" t="s">
        <v>331</v>
      </c>
      <c r="E174" s="1">
        <v>80</v>
      </c>
      <c r="F174" s="1">
        <v>64.3</v>
      </c>
      <c r="G174" s="1" t="s">
        <v>7</v>
      </c>
      <c r="H174" s="1" t="s">
        <v>7</v>
      </c>
      <c r="I174" s="1" t="s">
        <v>7</v>
      </c>
      <c r="J174" s="1" t="s">
        <v>7</v>
      </c>
      <c r="K174" s="1" t="s">
        <v>7</v>
      </c>
      <c r="L174" s="1" t="s">
        <v>7</v>
      </c>
      <c r="M174" s="1" t="s">
        <v>7</v>
      </c>
      <c r="N174" s="1" t="s">
        <v>7</v>
      </c>
      <c r="O174" s="1" t="s">
        <v>7</v>
      </c>
      <c r="P174" s="1" t="s">
        <v>7</v>
      </c>
      <c r="Q174" s="1" t="s">
        <v>7</v>
      </c>
      <c r="R174" s="1" t="s">
        <v>7</v>
      </c>
      <c r="S174" s="1" t="s">
        <v>7</v>
      </c>
      <c r="T174" s="1" t="s">
        <v>7</v>
      </c>
      <c r="U174" s="1">
        <v>80</v>
      </c>
      <c r="V174" s="1">
        <v>80</v>
      </c>
      <c r="W174" s="1">
        <v>80</v>
      </c>
      <c r="X174" s="48">
        <f t="shared" si="22"/>
        <v>0.18130311614730879</v>
      </c>
    </row>
    <row r="175" spans="1:25" ht="20.25" customHeight="1">
      <c r="A175" s="64">
        <v>151</v>
      </c>
      <c r="B175" s="63" t="s">
        <v>380</v>
      </c>
      <c r="C175" s="6" t="s">
        <v>381</v>
      </c>
      <c r="D175" s="23" t="s">
        <v>367</v>
      </c>
      <c r="E175" s="1">
        <v>100</v>
      </c>
      <c r="F175" s="1">
        <v>63.9</v>
      </c>
      <c r="G175" s="1" t="s">
        <v>7</v>
      </c>
      <c r="H175" s="1" t="s">
        <v>7</v>
      </c>
      <c r="I175" s="1" t="s">
        <v>7</v>
      </c>
      <c r="J175" s="1" t="s">
        <v>7</v>
      </c>
      <c r="K175" s="1" t="s">
        <v>7</v>
      </c>
      <c r="L175" s="1" t="s">
        <v>7</v>
      </c>
      <c r="M175" s="1" t="s">
        <v>7</v>
      </c>
      <c r="N175" s="1" t="s">
        <v>7</v>
      </c>
      <c r="O175" s="1" t="s">
        <v>7</v>
      </c>
      <c r="P175" s="1" t="s">
        <v>7</v>
      </c>
      <c r="Q175" s="1" t="s">
        <v>7</v>
      </c>
      <c r="R175" s="1" t="s">
        <v>7</v>
      </c>
      <c r="S175" s="1" t="s">
        <v>7</v>
      </c>
      <c r="T175" s="1" t="s">
        <v>7</v>
      </c>
      <c r="U175" s="1" t="s">
        <v>7</v>
      </c>
      <c r="V175" s="1" t="s">
        <v>7</v>
      </c>
      <c r="W175" s="1">
        <v>100</v>
      </c>
      <c r="X175" s="48">
        <f t="shared" si="22"/>
        <v>0.22662889518413595</v>
      </c>
    </row>
    <row r="176" spans="1:25" s="15" customFormat="1" ht="20.25" customHeight="1">
      <c r="A176" s="16">
        <v>152</v>
      </c>
      <c r="B176" s="27" t="s">
        <v>108</v>
      </c>
      <c r="C176" s="37" t="s">
        <v>274</v>
      </c>
      <c r="D176" s="26" t="s">
        <v>61</v>
      </c>
      <c r="E176" s="17">
        <v>50</v>
      </c>
      <c r="F176" s="17">
        <v>32</v>
      </c>
      <c r="G176" s="17">
        <v>90</v>
      </c>
      <c r="H176" s="17">
        <v>90</v>
      </c>
      <c r="I176" s="17">
        <v>90</v>
      </c>
      <c r="J176" s="17">
        <v>90</v>
      </c>
      <c r="K176" s="17">
        <v>90</v>
      </c>
      <c r="L176" s="17">
        <v>90</v>
      </c>
      <c r="M176" s="17">
        <v>90</v>
      </c>
      <c r="N176" s="17">
        <v>90</v>
      </c>
      <c r="O176" s="17">
        <v>90</v>
      </c>
      <c r="P176" s="17">
        <v>122</v>
      </c>
      <c r="Q176" s="17">
        <v>122</v>
      </c>
      <c r="R176" s="17">
        <v>122</v>
      </c>
      <c r="S176" s="17">
        <v>122</v>
      </c>
      <c r="T176" s="17">
        <v>122</v>
      </c>
      <c r="U176" s="17">
        <v>122</v>
      </c>
      <c r="V176" s="17">
        <v>122</v>
      </c>
      <c r="W176" s="17">
        <v>122</v>
      </c>
      <c r="X176" s="93">
        <f t="shared" si="22"/>
        <v>0.27648725212464592</v>
      </c>
    </row>
    <row r="177" spans="1:26" s="15" customFormat="1" ht="20.25" customHeight="1">
      <c r="A177" s="96"/>
      <c r="B177" s="66" t="s">
        <v>21</v>
      </c>
      <c r="C177" s="65"/>
      <c r="D177" s="14" t="s">
        <v>7</v>
      </c>
      <c r="E177" s="14" t="s">
        <v>7</v>
      </c>
      <c r="F177" s="14" t="s">
        <v>7</v>
      </c>
      <c r="G177" s="51">
        <f t="shared" ref="G177:U177" si="27">SUM(G178:G180)</f>
        <v>400</v>
      </c>
      <c r="H177" s="51">
        <f t="shared" si="27"/>
        <v>400</v>
      </c>
      <c r="I177" s="51">
        <f t="shared" si="27"/>
        <v>400</v>
      </c>
      <c r="J177" s="51">
        <f t="shared" si="27"/>
        <v>400</v>
      </c>
      <c r="K177" s="51">
        <f t="shared" si="27"/>
        <v>400</v>
      </c>
      <c r="L177" s="51">
        <f t="shared" si="27"/>
        <v>400</v>
      </c>
      <c r="M177" s="51">
        <f t="shared" si="27"/>
        <v>400</v>
      </c>
      <c r="N177" s="51">
        <f t="shared" si="27"/>
        <v>400</v>
      </c>
      <c r="O177" s="51">
        <f t="shared" si="27"/>
        <v>400</v>
      </c>
      <c r="P177" s="51">
        <f t="shared" si="27"/>
        <v>400</v>
      </c>
      <c r="Q177" s="51">
        <f t="shared" si="27"/>
        <v>400</v>
      </c>
      <c r="R177" s="51">
        <f t="shared" si="27"/>
        <v>400</v>
      </c>
      <c r="S177" s="51">
        <f t="shared" si="27"/>
        <v>400</v>
      </c>
      <c r="T177" s="51">
        <f t="shared" si="27"/>
        <v>440</v>
      </c>
      <c r="U177" s="51">
        <f t="shared" si="27"/>
        <v>440</v>
      </c>
      <c r="V177" s="51">
        <f t="shared" ref="V177:W177" si="28">SUM(V178:V180)</f>
        <v>614</v>
      </c>
      <c r="W177" s="51">
        <f t="shared" si="28"/>
        <v>614</v>
      </c>
      <c r="X177" s="86">
        <f t="shared" si="22"/>
        <v>1.391501416430595</v>
      </c>
    </row>
    <row r="178" spans="1:26" ht="20.25" customHeight="1">
      <c r="A178" s="64">
        <v>153</v>
      </c>
      <c r="B178" s="63" t="s">
        <v>109</v>
      </c>
      <c r="C178" s="6" t="s">
        <v>275</v>
      </c>
      <c r="D178" s="62" t="s">
        <v>46</v>
      </c>
      <c r="E178" s="1">
        <v>72</v>
      </c>
      <c r="F178" s="1">
        <v>128.69999999999999</v>
      </c>
      <c r="G178" s="1">
        <v>160</v>
      </c>
      <c r="H178" s="1">
        <v>160</v>
      </c>
      <c r="I178" s="1">
        <v>160</v>
      </c>
      <c r="J178" s="1">
        <v>160</v>
      </c>
      <c r="K178" s="1">
        <v>160</v>
      </c>
      <c r="L178" s="1">
        <v>160</v>
      </c>
      <c r="M178" s="1">
        <v>160</v>
      </c>
      <c r="N178" s="1">
        <v>160</v>
      </c>
      <c r="O178" s="1">
        <v>160</v>
      </c>
      <c r="P178" s="1">
        <v>160</v>
      </c>
      <c r="Q178" s="1">
        <v>160</v>
      </c>
      <c r="R178" s="1">
        <v>160</v>
      </c>
      <c r="S178" s="1">
        <v>160</v>
      </c>
      <c r="T178" s="1">
        <v>200</v>
      </c>
      <c r="U178" s="1">
        <v>200</v>
      </c>
      <c r="V178" s="1">
        <v>200</v>
      </c>
      <c r="W178" s="1">
        <v>200</v>
      </c>
      <c r="X178" s="48">
        <f t="shared" si="22"/>
        <v>0.45325779036827191</v>
      </c>
    </row>
    <row r="179" spans="1:26" ht="20.25" customHeight="1">
      <c r="A179" s="64">
        <v>154</v>
      </c>
      <c r="B179" s="63" t="s">
        <v>362</v>
      </c>
      <c r="C179" s="6"/>
      <c r="D179" s="62" t="s">
        <v>346</v>
      </c>
      <c r="E179" s="1">
        <v>174</v>
      </c>
      <c r="F179" s="1">
        <v>267</v>
      </c>
      <c r="G179" s="1" t="s">
        <v>7</v>
      </c>
      <c r="H179" s="1" t="s">
        <v>7</v>
      </c>
      <c r="I179" s="1" t="s">
        <v>7</v>
      </c>
      <c r="J179" s="1" t="s">
        <v>7</v>
      </c>
      <c r="K179" s="1" t="s">
        <v>7</v>
      </c>
      <c r="L179" s="1" t="s">
        <v>7</v>
      </c>
      <c r="M179" s="1" t="s">
        <v>7</v>
      </c>
      <c r="N179" s="1" t="s">
        <v>7</v>
      </c>
      <c r="O179" s="1" t="s">
        <v>7</v>
      </c>
      <c r="P179" s="1" t="s">
        <v>7</v>
      </c>
      <c r="Q179" s="1" t="s">
        <v>7</v>
      </c>
      <c r="R179" s="1" t="s">
        <v>7</v>
      </c>
      <c r="S179" s="1" t="s">
        <v>7</v>
      </c>
      <c r="T179" s="1" t="s">
        <v>7</v>
      </c>
      <c r="U179" s="1" t="s">
        <v>7</v>
      </c>
      <c r="V179" s="1">
        <v>174</v>
      </c>
      <c r="W179" s="1">
        <v>174</v>
      </c>
      <c r="X179" s="48">
        <f t="shared" si="22"/>
        <v>0.39433427762039663</v>
      </c>
    </row>
    <row r="180" spans="1:26" s="15" customFormat="1" ht="20.25" customHeight="1">
      <c r="A180" s="16">
        <v>155</v>
      </c>
      <c r="B180" s="27" t="s">
        <v>110</v>
      </c>
      <c r="C180" s="37" t="s">
        <v>276</v>
      </c>
      <c r="D180" s="28">
        <v>2000</v>
      </c>
      <c r="E180" s="28">
        <v>240</v>
      </c>
      <c r="F180" s="24">
        <v>128.69999999999999</v>
      </c>
      <c r="G180" s="28">
        <v>240</v>
      </c>
      <c r="H180" s="28">
        <v>240</v>
      </c>
      <c r="I180" s="28">
        <v>240</v>
      </c>
      <c r="J180" s="28">
        <v>240</v>
      </c>
      <c r="K180" s="28">
        <v>240</v>
      </c>
      <c r="L180" s="28">
        <v>240</v>
      </c>
      <c r="M180" s="28">
        <v>240</v>
      </c>
      <c r="N180" s="28">
        <v>240</v>
      </c>
      <c r="O180" s="28">
        <v>240</v>
      </c>
      <c r="P180" s="28">
        <v>240</v>
      </c>
      <c r="Q180" s="28">
        <v>240</v>
      </c>
      <c r="R180" s="28">
        <v>240</v>
      </c>
      <c r="S180" s="28">
        <v>240</v>
      </c>
      <c r="T180" s="28">
        <v>240</v>
      </c>
      <c r="U180" s="28">
        <v>240</v>
      </c>
      <c r="V180" s="28">
        <v>240</v>
      </c>
      <c r="W180" s="28">
        <v>240</v>
      </c>
      <c r="X180" s="92">
        <f t="shared" si="22"/>
        <v>0.54390934844192629</v>
      </c>
    </row>
    <row r="181" spans="1:26" s="15" customFormat="1" ht="20.25" customHeight="1">
      <c r="A181" s="64"/>
      <c r="B181" s="66" t="s">
        <v>22</v>
      </c>
      <c r="C181" s="65"/>
      <c r="D181" s="14" t="s">
        <v>7</v>
      </c>
      <c r="E181" s="14" t="s">
        <v>7</v>
      </c>
      <c r="F181" s="14" t="s">
        <v>7</v>
      </c>
      <c r="G181" s="51">
        <f t="shared" ref="G181:W181" si="29">SUM(G182)</f>
        <v>250</v>
      </c>
      <c r="H181" s="51">
        <f t="shared" si="29"/>
        <v>250</v>
      </c>
      <c r="I181" s="51">
        <f t="shared" si="29"/>
        <v>250</v>
      </c>
      <c r="J181" s="51">
        <f t="shared" si="29"/>
        <v>250</v>
      </c>
      <c r="K181" s="51">
        <f t="shared" si="29"/>
        <v>250</v>
      </c>
      <c r="L181" s="51">
        <f t="shared" si="29"/>
        <v>250</v>
      </c>
      <c r="M181" s="51">
        <f t="shared" si="29"/>
        <v>250</v>
      </c>
      <c r="N181" s="51">
        <f t="shared" si="29"/>
        <v>250</v>
      </c>
      <c r="O181" s="51">
        <f t="shared" si="29"/>
        <v>250</v>
      </c>
      <c r="P181" s="51">
        <f t="shared" si="29"/>
        <v>250</v>
      </c>
      <c r="Q181" s="51">
        <f t="shared" si="29"/>
        <v>250</v>
      </c>
      <c r="R181" s="51">
        <f t="shared" si="29"/>
        <v>250</v>
      </c>
      <c r="S181" s="51">
        <f t="shared" si="29"/>
        <v>250</v>
      </c>
      <c r="T181" s="51">
        <f t="shared" si="29"/>
        <v>250</v>
      </c>
      <c r="U181" s="51">
        <f t="shared" si="29"/>
        <v>250</v>
      </c>
      <c r="V181" s="51">
        <f t="shared" si="29"/>
        <v>250</v>
      </c>
      <c r="W181" s="51">
        <f t="shared" si="29"/>
        <v>250</v>
      </c>
      <c r="X181" s="86">
        <f t="shared" si="22"/>
        <v>0.56657223796033995</v>
      </c>
    </row>
    <row r="182" spans="1:26" s="15" customFormat="1" ht="20.25" customHeight="1">
      <c r="A182" s="16">
        <v>156</v>
      </c>
      <c r="B182" s="27" t="s">
        <v>111</v>
      </c>
      <c r="C182" s="37" t="s">
        <v>277</v>
      </c>
      <c r="D182" s="70" t="s">
        <v>46</v>
      </c>
      <c r="E182" s="17">
        <v>250</v>
      </c>
      <c r="F182" s="17">
        <v>120.7</v>
      </c>
      <c r="G182" s="17">
        <v>250</v>
      </c>
      <c r="H182" s="17">
        <v>250</v>
      </c>
      <c r="I182" s="17">
        <v>250</v>
      </c>
      <c r="J182" s="17">
        <v>250</v>
      </c>
      <c r="K182" s="17">
        <v>250</v>
      </c>
      <c r="L182" s="17">
        <v>250</v>
      </c>
      <c r="M182" s="28">
        <v>250</v>
      </c>
      <c r="N182" s="28">
        <v>250</v>
      </c>
      <c r="O182" s="28">
        <v>250</v>
      </c>
      <c r="P182" s="28">
        <v>250</v>
      </c>
      <c r="Q182" s="28">
        <v>250</v>
      </c>
      <c r="R182" s="28">
        <v>250</v>
      </c>
      <c r="S182" s="28">
        <v>250</v>
      </c>
      <c r="T182" s="28">
        <v>250</v>
      </c>
      <c r="U182" s="28">
        <v>250</v>
      </c>
      <c r="V182" s="28">
        <v>250</v>
      </c>
      <c r="W182" s="28">
        <v>250</v>
      </c>
      <c r="X182" s="92">
        <f t="shared" si="22"/>
        <v>0.56657223796033995</v>
      </c>
    </row>
    <row r="183" spans="1:26" s="29" customFormat="1" ht="20.25" customHeight="1">
      <c r="A183" s="64"/>
      <c r="B183" s="66" t="s">
        <v>23</v>
      </c>
      <c r="C183" s="65"/>
      <c r="D183" s="14" t="s">
        <v>7</v>
      </c>
      <c r="E183" s="14" t="s">
        <v>7</v>
      </c>
      <c r="F183" s="14" t="s">
        <v>7</v>
      </c>
      <c r="G183" s="51">
        <f t="shared" ref="G183:U183" si="30">SUM(G184:G192)</f>
        <v>324</v>
      </c>
      <c r="H183" s="51">
        <f t="shared" si="30"/>
        <v>324</v>
      </c>
      <c r="I183" s="51">
        <f t="shared" si="30"/>
        <v>436</v>
      </c>
      <c r="J183" s="51">
        <f t="shared" si="30"/>
        <v>436</v>
      </c>
      <c r="K183" s="51">
        <f t="shared" si="30"/>
        <v>436</v>
      </c>
      <c r="L183" s="51">
        <f t="shared" si="30"/>
        <v>590</v>
      </c>
      <c r="M183" s="51">
        <f t="shared" si="30"/>
        <v>590</v>
      </c>
      <c r="N183" s="51">
        <f t="shared" si="30"/>
        <v>590</v>
      </c>
      <c r="O183" s="51">
        <f t="shared" si="30"/>
        <v>778</v>
      </c>
      <c r="P183" s="51">
        <f t="shared" si="30"/>
        <v>962</v>
      </c>
      <c r="Q183" s="51">
        <f t="shared" si="30"/>
        <v>1512</v>
      </c>
      <c r="R183" s="51">
        <f t="shared" si="30"/>
        <v>1754</v>
      </c>
      <c r="S183" s="51">
        <f t="shared" si="30"/>
        <v>2798</v>
      </c>
      <c r="T183" s="51">
        <f t="shared" si="30"/>
        <v>2806</v>
      </c>
      <c r="U183" s="51">
        <f t="shared" si="30"/>
        <v>2860</v>
      </c>
      <c r="V183" s="51">
        <f t="shared" ref="V183:W183" si="31">SUM(V184:V192)</f>
        <v>2860</v>
      </c>
      <c r="W183" s="51">
        <f t="shared" si="31"/>
        <v>2864</v>
      </c>
      <c r="X183" s="86">
        <f t="shared" si="22"/>
        <v>6.4906515580736537</v>
      </c>
    </row>
    <row r="184" spans="1:26" s="15" customFormat="1" ht="20.25" customHeight="1">
      <c r="A184" s="96">
        <v>157</v>
      </c>
      <c r="B184" s="63" t="s">
        <v>363</v>
      </c>
      <c r="C184" s="6" t="s">
        <v>278</v>
      </c>
      <c r="D184" s="71">
        <v>2015</v>
      </c>
      <c r="E184" s="1">
        <v>66</v>
      </c>
      <c r="F184" s="1">
        <v>158</v>
      </c>
      <c r="G184" s="1" t="s">
        <v>7</v>
      </c>
      <c r="H184" s="1" t="s">
        <v>7</v>
      </c>
      <c r="I184" s="1" t="s">
        <v>7</v>
      </c>
      <c r="J184" s="1" t="s">
        <v>7</v>
      </c>
      <c r="K184" s="1" t="s">
        <v>7</v>
      </c>
      <c r="L184" s="1" t="s">
        <v>7</v>
      </c>
      <c r="M184" s="1" t="s">
        <v>7</v>
      </c>
      <c r="N184" s="1" t="s">
        <v>7</v>
      </c>
      <c r="O184" s="1">
        <v>66</v>
      </c>
      <c r="P184" s="1">
        <v>66</v>
      </c>
      <c r="Q184" s="1">
        <v>66</v>
      </c>
      <c r="R184" s="1">
        <v>66</v>
      </c>
      <c r="S184" s="1">
        <v>66</v>
      </c>
      <c r="T184" s="1">
        <v>66</v>
      </c>
      <c r="U184" s="1">
        <v>66</v>
      </c>
      <c r="V184" s="1">
        <v>66</v>
      </c>
      <c r="W184" s="1">
        <v>66</v>
      </c>
      <c r="X184" s="48">
        <f t="shared" si="22"/>
        <v>0.14957507082152974</v>
      </c>
      <c r="Y184" s="39"/>
      <c r="Z184" s="41"/>
    </row>
    <row r="185" spans="1:26" s="15" customFormat="1" ht="20.25" customHeight="1">
      <c r="A185" s="96">
        <v>158</v>
      </c>
      <c r="B185" s="63" t="s">
        <v>279</v>
      </c>
      <c r="C185" s="6" t="s">
        <v>280</v>
      </c>
      <c r="D185" s="71">
        <v>1998</v>
      </c>
      <c r="E185" s="1">
        <v>50</v>
      </c>
      <c r="F185" s="1">
        <v>146</v>
      </c>
      <c r="G185" s="1">
        <v>168</v>
      </c>
      <c r="H185" s="1">
        <v>168</v>
      </c>
      <c r="I185" s="1">
        <v>236</v>
      </c>
      <c r="J185" s="1">
        <v>236</v>
      </c>
      <c r="K185" s="1">
        <v>236</v>
      </c>
      <c r="L185" s="1">
        <v>236</v>
      </c>
      <c r="M185" s="1">
        <v>236</v>
      </c>
      <c r="N185" s="1">
        <v>236</v>
      </c>
      <c r="O185" s="1">
        <v>238</v>
      </c>
      <c r="P185" s="1">
        <v>238</v>
      </c>
      <c r="Q185" s="1">
        <v>238</v>
      </c>
      <c r="R185" s="1">
        <v>238</v>
      </c>
      <c r="S185" s="1">
        <v>238</v>
      </c>
      <c r="T185" s="1">
        <v>238</v>
      </c>
      <c r="U185" s="1">
        <v>238</v>
      </c>
      <c r="V185" s="1">
        <v>238</v>
      </c>
      <c r="W185" s="1">
        <v>238</v>
      </c>
      <c r="X185" s="48">
        <f t="shared" si="22"/>
        <v>0.53937677053824362</v>
      </c>
      <c r="Y185" s="39"/>
      <c r="Z185" s="41"/>
    </row>
    <row r="186" spans="1:26" s="15" customFormat="1" ht="20.25" customHeight="1">
      <c r="A186" s="96">
        <v>159</v>
      </c>
      <c r="B186" s="63" t="s">
        <v>281</v>
      </c>
      <c r="C186" s="6" t="s">
        <v>444</v>
      </c>
      <c r="D186" s="71">
        <v>2019</v>
      </c>
      <c r="E186" s="1">
        <v>152</v>
      </c>
      <c r="F186" s="1">
        <v>153</v>
      </c>
      <c r="G186" s="1" t="s">
        <v>7</v>
      </c>
      <c r="H186" s="1" t="s">
        <v>7</v>
      </c>
      <c r="I186" s="1" t="s">
        <v>7</v>
      </c>
      <c r="J186" s="1" t="s">
        <v>7</v>
      </c>
      <c r="K186" s="1" t="s">
        <v>7</v>
      </c>
      <c r="L186" s="1" t="s">
        <v>7</v>
      </c>
      <c r="M186" s="1" t="s">
        <v>7</v>
      </c>
      <c r="N186" s="1" t="s">
        <v>7</v>
      </c>
      <c r="O186" s="1" t="s">
        <v>7</v>
      </c>
      <c r="P186" s="1" t="s">
        <v>7</v>
      </c>
      <c r="Q186" s="1" t="s">
        <v>7</v>
      </c>
      <c r="R186" s="1" t="s">
        <v>7</v>
      </c>
      <c r="S186" s="1">
        <v>152</v>
      </c>
      <c r="T186" s="1">
        <v>152</v>
      </c>
      <c r="U186" s="1">
        <v>206</v>
      </c>
      <c r="V186" s="1">
        <v>206</v>
      </c>
      <c r="W186" s="1">
        <v>206</v>
      </c>
      <c r="X186" s="48">
        <f t="shared" si="22"/>
        <v>0.46685552407932007</v>
      </c>
      <c r="Y186" s="39"/>
      <c r="Z186" s="41"/>
    </row>
    <row r="187" spans="1:26" s="15" customFormat="1" ht="20.25" customHeight="1">
      <c r="A187" s="96">
        <v>160</v>
      </c>
      <c r="B187" s="63" t="s">
        <v>282</v>
      </c>
      <c r="C187" s="6" t="s">
        <v>283</v>
      </c>
      <c r="D187" s="71">
        <v>2017</v>
      </c>
      <c r="E187" s="1">
        <v>544</v>
      </c>
      <c r="F187" s="1">
        <v>171</v>
      </c>
      <c r="G187" s="1" t="s">
        <v>7</v>
      </c>
      <c r="H187" s="1" t="s">
        <v>7</v>
      </c>
      <c r="I187" s="1" t="s">
        <v>7</v>
      </c>
      <c r="J187" s="1" t="s">
        <v>7</v>
      </c>
      <c r="K187" s="1" t="s">
        <v>7</v>
      </c>
      <c r="L187" s="1" t="s">
        <v>7</v>
      </c>
      <c r="M187" s="1" t="s">
        <v>7</v>
      </c>
      <c r="N187" s="1" t="s">
        <v>7</v>
      </c>
      <c r="O187" s="1" t="s">
        <v>7</v>
      </c>
      <c r="P187" s="51" t="s">
        <v>7</v>
      </c>
      <c r="Q187" s="1">
        <v>544</v>
      </c>
      <c r="R187" s="1">
        <v>544</v>
      </c>
      <c r="S187" s="1">
        <v>544</v>
      </c>
      <c r="T187" s="1">
        <v>544</v>
      </c>
      <c r="U187" s="1">
        <v>544</v>
      </c>
      <c r="V187" s="1">
        <v>544</v>
      </c>
      <c r="W187" s="1">
        <v>544</v>
      </c>
      <c r="X187" s="48">
        <f t="shared" si="22"/>
        <v>1.2328611898016997</v>
      </c>
      <c r="Y187" s="39"/>
      <c r="Z187" s="41"/>
    </row>
    <row r="188" spans="1:26" s="15" customFormat="1" ht="20.25" customHeight="1">
      <c r="A188" s="96">
        <v>161</v>
      </c>
      <c r="B188" s="63" t="s">
        <v>284</v>
      </c>
      <c r="C188" s="6" t="s">
        <v>285</v>
      </c>
      <c r="D188" s="71">
        <v>2012</v>
      </c>
      <c r="E188" s="1">
        <v>56</v>
      </c>
      <c r="F188" s="1">
        <v>180</v>
      </c>
      <c r="G188" s="1" t="s">
        <v>7</v>
      </c>
      <c r="H188" s="1" t="s">
        <v>7</v>
      </c>
      <c r="I188" s="1" t="s">
        <v>7</v>
      </c>
      <c r="J188" s="1" t="s">
        <v>7</v>
      </c>
      <c r="K188" s="1" t="s">
        <v>7</v>
      </c>
      <c r="L188" s="1">
        <v>154</v>
      </c>
      <c r="M188" s="1">
        <v>154</v>
      </c>
      <c r="N188" s="1">
        <v>154</v>
      </c>
      <c r="O188" s="1">
        <v>274</v>
      </c>
      <c r="P188" s="1">
        <v>274</v>
      </c>
      <c r="Q188" s="1">
        <v>274</v>
      </c>
      <c r="R188" s="1">
        <v>274</v>
      </c>
      <c r="S188" s="1">
        <v>274</v>
      </c>
      <c r="T188" s="1">
        <v>274</v>
      </c>
      <c r="U188" s="1">
        <v>274</v>
      </c>
      <c r="V188" s="1">
        <v>274</v>
      </c>
      <c r="W188" s="1">
        <v>278</v>
      </c>
      <c r="X188" s="48">
        <f t="shared" si="22"/>
        <v>0.63002832861189806</v>
      </c>
      <c r="Y188" s="39"/>
      <c r="Z188" s="41"/>
    </row>
    <row r="189" spans="1:26" s="15" customFormat="1" ht="20.25" customHeight="1">
      <c r="A189" s="96">
        <v>162</v>
      </c>
      <c r="B189" s="63" t="s">
        <v>286</v>
      </c>
      <c r="C189" s="6" t="s">
        <v>287</v>
      </c>
      <c r="D189" s="71">
        <v>2019</v>
      </c>
      <c r="E189" s="1">
        <v>880</v>
      </c>
      <c r="F189" s="1">
        <v>180</v>
      </c>
      <c r="G189" s="1" t="s">
        <v>7</v>
      </c>
      <c r="H189" s="1" t="s">
        <v>7</v>
      </c>
      <c r="I189" s="1" t="s">
        <v>7</v>
      </c>
      <c r="J189" s="1" t="s">
        <v>7</v>
      </c>
      <c r="K189" s="1" t="s">
        <v>7</v>
      </c>
      <c r="L189" s="1" t="s">
        <v>7</v>
      </c>
      <c r="M189" s="1" t="s">
        <v>7</v>
      </c>
      <c r="N189" s="1" t="s">
        <v>7</v>
      </c>
      <c r="O189" s="1" t="s">
        <v>7</v>
      </c>
      <c r="P189" s="51" t="s">
        <v>7</v>
      </c>
      <c r="Q189" s="51" t="s">
        <v>7</v>
      </c>
      <c r="R189" s="51" t="s">
        <v>7</v>
      </c>
      <c r="S189" s="1">
        <v>880</v>
      </c>
      <c r="T189" s="1">
        <v>880</v>
      </c>
      <c r="U189" s="1">
        <v>880</v>
      </c>
      <c r="V189" s="1">
        <v>880</v>
      </c>
      <c r="W189" s="1">
        <v>880</v>
      </c>
      <c r="X189" s="48">
        <f t="shared" si="22"/>
        <v>1.9943342776203965</v>
      </c>
      <c r="Y189" s="39"/>
      <c r="Z189" s="41"/>
    </row>
    <row r="190" spans="1:26" s="15" customFormat="1" ht="20.25" customHeight="1">
      <c r="A190" s="96">
        <v>163</v>
      </c>
      <c r="B190" s="63" t="s">
        <v>364</v>
      </c>
      <c r="C190" s="6" t="s">
        <v>288</v>
      </c>
      <c r="D190" s="71">
        <v>2018</v>
      </c>
      <c r="E190" s="1">
        <v>242</v>
      </c>
      <c r="F190" s="1">
        <v>153</v>
      </c>
      <c r="G190" s="1" t="s">
        <v>7</v>
      </c>
      <c r="H190" s="1" t="s">
        <v>7</v>
      </c>
      <c r="I190" s="1" t="s">
        <v>7</v>
      </c>
      <c r="J190" s="1" t="s">
        <v>7</v>
      </c>
      <c r="K190" s="1" t="s">
        <v>7</v>
      </c>
      <c r="L190" s="1" t="s">
        <v>7</v>
      </c>
      <c r="M190" s="1" t="s">
        <v>7</v>
      </c>
      <c r="N190" s="51" t="s">
        <v>7</v>
      </c>
      <c r="O190" s="51" t="s">
        <v>7</v>
      </c>
      <c r="P190" s="51" t="s">
        <v>7</v>
      </c>
      <c r="Q190" s="51" t="s">
        <v>7</v>
      </c>
      <c r="R190" s="1">
        <v>242</v>
      </c>
      <c r="S190" s="1">
        <v>254</v>
      </c>
      <c r="T190" s="1">
        <v>254</v>
      </c>
      <c r="U190" s="1">
        <v>254</v>
      </c>
      <c r="V190" s="1">
        <v>254</v>
      </c>
      <c r="W190" s="1">
        <v>254</v>
      </c>
      <c r="X190" s="48">
        <f t="shared" si="22"/>
        <v>0.5756373937677054</v>
      </c>
      <c r="Y190" s="39"/>
      <c r="Z190" s="41"/>
    </row>
    <row r="191" spans="1:26" s="15" customFormat="1" ht="20.25" customHeight="1">
      <c r="A191" s="96">
        <v>164</v>
      </c>
      <c r="B191" s="63" t="s">
        <v>365</v>
      </c>
      <c r="C191" s="6" t="s">
        <v>289</v>
      </c>
      <c r="D191" s="62">
        <v>1998</v>
      </c>
      <c r="E191" s="1">
        <v>136</v>
      </c>
      <c r="F191" s="1">
        <v>144</v>
      </c>
      <c r="G191" s="1">
        <v>156</v>
      </c>
      <c r="H191" s="1">
        <v>156</v>
      </c>
      <c r="I191" s="1">
        <v>200</v>
      </c>
      <c r="J191" s="1">
        <v>200</v>
      </c>
      <c r="K191" s="1">
        <v>200</v>
      </c>
      <c r="L191" s="1">
        <v>200</v>
      </c>
      <c r="M191" s="1">
        <v>200</v>
      </c>
      <c r="N191" s="1">
        <v>200</v>
      </c>
      <c r="O191" s="1">
        <v>200</v>
      </c>
      <c r="P191" s="1">
        <v>200</v>
      </c>
      <c r="Q191" s="1">
        <v>200</v>
      </c>
      <c r="R191" s="1">
        <v>200</v>
      </c>
      <c r="S191" s="1">
        <v>200</v>
      </c>
      <c r="T191" s="1">
        <v>208</v>
      </c>
      <c r="U191" s="1">
        <v>208</v>
      </c>
      <c r="V191" s="1">
        <v>208</v>
      </c>
      <c r="W191" s="1">
        <v>208</v>
      </c>
      <c r="X191" s="48">
        <f t="shared" si="22"/>
        <v>0.47138810198300285</v>
      </c>
      <c r="Y191" s="39"/>
      <c r="Z191" s="41"/>
    </row>
    <row r="192" spans="1:26" ht="20.25" customHeight="1">
      <c r="A192" s="16">
        <v>165</v>
      </c>
      <c r="B192" s="27" t="s">
        <v>290</v>
      </c>
      <c r="C192" s="37" t="s">
        <v>291</v>
      </c>
      <c r="D192" s="72">
        <v>2016</v>
      </c>
      <c r="E192" s="17">
        <v>28</v>
      </c>
      <c r="F192" s="17">
        <v>160</v>
      </c>
      <c r="G192" s="17" t="s">
        <v>7</v>
      </c>
      <c r="H192" s="17" t="s">
        <v>7</v>
      </c>
      <c r="I192" s="17" t="s">
        <v>7</v>
      </c>
      <c r="J192" s="17" t="s">
        <v>7</v>
      </c>
      <c r="K192" s="17" t="s">
        <v>7</v>
      </c>
      <c r="L192" s="17" t="s">
        <v>7</v>
      </c>
      <c r="M192" s="17" t="s">
        <v>7</v>
      </c>
      <c r="N192" s="17" t="s">
        <v>7</v>
      </c>
      <c r="O192" s="17" t="s">
        <v>7</v>
      </c>
      <c r="P192" s="17">
        <v>184</v>
      </c>
      <c r="Q192" s="17">
        <v>190</v>
      </c>
      <c r="R192" s="17">
        <v>190</v>
      </c>
      <c r="S192" s="17">
        <v>190</v>
      </c>
      <c r="T192" s="17">
        <v>190</v>
      </c>
      <c r="U192" s="17">
        <v>190</v>
      </c>
      <c r="V192" s="17">
        <v>190</v>
      </c>
      <c r="W192" s="17">
        <v>190</v>
      </c>
      <c r="X192" s="93">
        <f t="shared" si="22"/>
        <v>0.43059490084985835</v>
      </c>
      <c r="Y192" s="40"/>
      <c r="Z192" s="41"/>
    </row>
    <row r="193" spans="1:29" s="15" customFormat="1" ht="20.25" customHeight="1">
      <c r="A193" s="64"/>
      <c r="B193" s="66" t="s">
        <v>24</v>
      </c>
      <c r="C193" s="65"/>
      <c r="D193" s="14" t="s">
        <v>7</v>
      </c>
      <c r="E193" s="14" t="s">
        <v>7</v>
      </c>
      <c r="F193" s="14" t="s">
        <v>7</v>
      </c>
      <c r="G193" s="14" t="s">
        <v>7</v>
      </c>
      <c r="H193" s="14" t="s">
        <v>7</v>
      </c>
      <c r="I193" s="14" t="s">
        <v>7</v>
      </c>
      <c r="J193" s="14" t="s">
        <v>7</v>
      </c>
      <c r="K193" s="14" t="s">
        <v>7</v>
      </c>
      <c r="L193" s="14" t="s">
        <v>7</v>
      </c>
      <c r="M193" s="14">
        <f t="shared" ref="M193:W193" si="32">SUM(M194)</f>
        <v>46</v>
      </c>
      <c r="N193" s="14">
        <f t="shared" si="32"/>
        <v>132</v>
      </c>
      <c r="O193" s="14">
        <f t="shared" si="32"/>
        <v>152</v>
      </c>
      <c r="P193" s="14">
        <f t="shared" si="32"/>
        <v>152</v>
      </c>
      <c r="Q193" s="14">
        <f t="shared" si="32"/>
        <v>152</v>
      </c>
      <c r="R193" s="14">
        <f t="shared" si="32"/>
        <v>152</v>
      </c>
      <c r="S193" s="14">
        <f t="shared" si="32"/>
        <v>152</v>
      </c>
      <c r="T193" s="14">
        <f t="shared" si="32"/>
        <v>152</v>
      </c>
      <c r="U193" s="14">
        <f t="shared" si="32"/>
        <v>152</v>
      </c>
      <c r="V193" s="14">
        <f t="shared" si="32"/>
        <v>152</v>
      </c>
      <c r="W193" s="14">
        <f t="shared" si="32"/>
        <v>152</v>
      </c>
      <c r="X193" s="88">
        <f t="shared" si="22"/>
        <v>0.34447592067988669</v>
      </c>
    </row>
    <row r="194" spans="1:29" s="15" customFormat="1" ht="20.25" customHeight="1">
      <c r="A194" s="16">
        <v>166</v>
      </c>
      <c r="B194" s="27" t="s">
        <v>292</v>
      </c>
      <c r="C194" s="37" t="s">
        <v>293</v>
      </c>
      <c r="D194" s="70" t="s">
        <v>1</v>
      </c>
      <c r="E194" s="17">
        <v>66</v>
      </c>
      <c r="F194" s="17">
        <v>260</v>
      </c>
      <c r="G194" s="17" t="s">
        <v>7</v>
      </c>
      <c r="H194" s="17" t="s">
        <v>7</v>
      </c>
      <c r="I194" s="17" t="s">
        <v>7</v>
      </c>
      <c r="J194" s="17" t="s">
        <v>7</v>
      </c>
      <c r="K194" s="17" t="s">
        <v>7</v>
      </c>
      <c r="L194" s="17" t="s">
        <v>7</v>
      </c>
      <c r="M194" s="17">
        <v>46</v>
      </c>
      <c r="N194" s="17">
        <v>132</v>
      </c>
      <c r="O194" s="17">
        <v>152</v>
      </c>
      <c r="P194" s="17">
        <v>152</v>
      </c>
      <c r="Q194" s="17">
        <v>152</v>
      </c>
      <c r="R194" s="17">
        <v>152</v>
      </c>
      <c r="S194" s="17">
        <v>152</v>
      </c>
      <c r="T194" s="17">
        <v>152</v>
      </c>
      <c r="U194" s="17">
        <v>152</v>
      </c>
      <c r="V194" s="17">
        <v>152</v>
      </c>
      <c r="W194" s="17">
        <v>152</v>
      </c>
      <c r="X194" s="93">
        <f t="shared" si="22"/>
        <v>0.34447592067988669</v>
      </c>
    </row>
    <row r="195" spans="1:29" s="15" customFormat="1" ht="20.25" customHeight="1">
      <c r="A195" s="64"/>
      <c r="B195" s="66" t="s">
        <v>25</v>
      </c>
      <c r="C195" s="65"/>
      <c r="D195" s="14" t="s">
        <v>7</v>
      </c>
      <c r="E195" s="14" t="s">
        <v>7</v>
      </c>
      <c r="F195" s="14" t="s">
        <v>7</v>
      </c>
      <c r="G195" s="14" t="s">
        <v>7</v>
      </c>
      <c r="H195" s="14" t="s">
        <v>7</v>
      </c>
      <c r="I195" s="14" t="s">
        <v>7</v>
      </c>
      <c r="J195" s="14" t="s">
        <v>7</v>
      </c>
      <c r="K195" s="14">
        <f t="shared" ref="K195:R195" si="33">SUM(K196)</f>
        <v>194</v>
      </c>
      <c r="L195" s="14">
        <f t="shared" si="33"/>
        <v>194</v>
      </c>
      <c r="M195" s="14">
        <f t="shared" si="33"/>
        <v>194</v>
      </c>
      <c r="N195" s="14">
        <f t="shared" si="33"/>
        <v>194</v>
      </c>
      <c r="O195" s="14">
        <f t="shared" si="33"/>
        <v>194</v>
      </c>
      <c r="P195" s="14">
        <f t="shared" si="33"/>
        <v>194</v>
      </c>
      <c r="Q195" s="14">
        <f t="shared" si="33"/>
        <v>194</v>
      </c>
      <c r="R195" s="14">
        <f t="shared" si="33"/>
        <v>194</v>
      </c>
      <c r="S195" s="14">
        <f>SUM(S196:S197)</f>
        <v>242</v>
      </c>
      <c r="T195" s="14">
        <f>SUM(T196:T197)</f>
        <v>242</v>
      </c>
      <c r="U195" s="14">
        <f>SUM(U196:U197)</f>
        <v>242</v>
      </c>
      <c r="V195" s="14">
        <f>SUM(V196:V197)</f>
        <v>356</v>
      </c>
      <c r="W195" s="14">
        <f>SUM(W196:W197)</f>
        <v>360</v>
      </c>
      <c r="X195" s="88">
        <f t="shared" si="22"/>
        <v>0.81586402266288949</v>
      </c>
    </row>
    <row r="196" spans="1:29" s="15" customFormat="1" ht="20.25" customHeight="1">
      <c r="A196" s="64">
        <v>167</v>
      </c>
      <c r="B196" s="63" t="s">
        <v>294</v>
      </c>
      <c r="C196" s="6" t="s">
        <v>295</v>
      </c>
      <c r="D196" s="62">
        <v>2011</v>
      </c>
      <c r="E196" s="1">
        <v>66</v>
      </c>
      <c r="F196" s="1">
        <v>260</v>
      </c>
      <c r="G196" s="1" t="s">
        <v>7</v>
      </c>
      <c r="H196" s="1" t="s">
        <v>7</v>
      </c>
      <c r="I196" s="1" t="s">
        <v>7</v>
      </c>
      <c r="J196" s="1" t="s">
        <v>7</v>
      </c>
      <c r="K196" s="1">
        <v>194</v>
      </c>
      <c r="L196" s="1">
        <v>194</v>
      </c>
      <c r="M196" s="1">
        <v>194</v>
      </c>
      <c r="N196" s="1">
        <v>194</v>
      </c>
      <c r="O196" s="1">
        <v>194</v>
      </c>
      <c r="P196" s="1">
        <v>194</v>
      </c>
      <c r="Q196" s="1">
        <v>194</v>
      </c>
      <c r="R196" s="1">
        <v>194</v>
      </c>
      <c r="S196" s="1">
        <v>194</v>
      </c>
      <c r="T196" s="1">
        <v>194</v>
      </c>
      <c r="U196" s="1">
        <v>194</v>
      </c>
      <c r="V196" s="1">
        <v>194</v>
      </c>
      <c r="W196" s="1">
        <v>198</v>
      </c>
      <c r="X196" s="48">
        <f t="shared" si="22"/>
        <v>0.44872521246458924</v>
      </c>
    </row>
    <row r="197" spans="1:29" s="15" customFormat="1" ht="20.25" customHeight="1">
      <c r="A197" s="16">
        <v>168</v>
      </c>
      <c r="B197" s="27" t="s">
        <v>119</v>
      </c>
      <c r="C197" s="37" t="s">
        <v>296</v>
      </c>
      <c r="D197" s="70" t="s">
        <v>114</v>
      </c>
      <c r="E197" s="17">
        <v>48</v>
      </c>
      <c r="F197" s="17">
        <v>267</v>
      </c>
      <c r="G197" s="17"/>
      <c r="H197" s="17"/>
      <c r="I197" s="17"/>
      <c r="J197" s="17"/>
      <c r="K197" s="17"/>
      <c r="L197" s="17"/>
      <c r="M197" s="18" t="s">
        <v>7</v>
      </c>
      <c r="N197" s="18" t="s">
        <v>7</v>
      </c>
      <c r="O197" s="18" t="s">
        <v>7</v>
      </c>
      <c r="P197" s="35" t="s">
        <v>7</v>
      </c>
      <c r="Q197" s="35" t="s">
        <v>7</v>
      </c>
      <c r="R197" s="35" t="s">
        <v>7</v>
      </c>
      <c r="S197" s="17">
        <v>48</v>
      </c>
      <c r="T197" s="17">
        <v>48</v>
      </c>
      <c r="U197" s="17">
        <v>48</v>
      </c>
      <c r="V197" s="17">
        <v>162</v>
      </c>
      <c r="W197" s="17">
        <v>162</v>
      </c>
      <c r="X197" s="93">
        <f t="shared" si="22"/>
        <v>0.3671388101983003</v>
      </c>
    </row>
    <row r="198" spans="1:29" ht="20.25" customHeight="1">
      <c r="A198" s="64"/>
      <c r="B198" s="66" t="s">
        <v>26</v>
      </c>
      <c r="C198" s="65"/>
      <c r="D198" s="14" t="s">
        <v>7</v>
      </c>
      <c r="E198" s="14" t="s">
        <v>7</v>
      </c>
      <c r="F198" s="14" t="s">
        <v>7</v>
      </c>
      <c r="G198" s="14" t="s">
        <v>7</v>
      </c>
      <c r="H198" s="14" t="s">
        <v>7</v>
      </c>
      <c r="I198" s="51">
        <f t="shared" ref="I198:R198" si="34">SUM(I199:I203)</f>
        <v>200</v>
      </c>
      <c r="J198" s="51">
        <f t="shared" si="34"/>
        <v>250</v>
      </c>
      <c r="K198" s="51">
        <f t="shared" si="34"/>
        <v>324</v>
      </c>
      <c r="L198" s="51">
        <f t="shared" si="34"/>
        <v>524</v>
      </c>
      <c r="M198" s="51">
        <f t="shared" si="34"/>
        <v>576</v>
      </c>
      <c r="N198" s="51">
        <f t="shared" si="34"/>
        <v>576</v>
      </c>
      <c r="O198" s="51">
        <f t="shared" si="34"/>
        <v>576</v>
      </c>
      <c r="P198" s="51">
        <f t="shared" si="34"/>
        <v>616</v>
      </c>
      <c r="Q198" s="51">
        <f t="shared" si="34"/>
        <v>616</v>
      </c>
      <c r="R198" s="51">
        <f t="shared" si="34"/>
        <v>616</v>
      </c>
      <c r="S198" s="51">
        <f>SUM(S199:S204)</f>
        <v>1141</v>
      </c>
      <c r="T198" s="51">
        <f>SUM(T199:T204)</f>
        <v>1267</v>
      </c>
      <c r="U198" s="51">
        <f>SUM(U199:U204)</f>
        <v>1279</v>
      </c>
      <c r="V198" s="51">
        <f>SUM(V199:V204)</f>
        <v>1279</v>
      </c>
      <c r="W198" s="51">
        <f>SUM(W199:W204)</f>
        <v>1279</v>
      </c>
      <c r="X198" s="86">
        <f t="shared" si="22"/>
        <v>2.898583569405099</v>
      </c>
    </row>
    <row r="199" spans="1:29" ht="20.25" customHeight="1">
      <c r="A199" s="64">
        <v>169</v>
      </c>
      <c r="B199" s="63" t="s">
        <v>298</v>
      </c>
      <c r="C199" s="6" t="s">
        <v>299</v>
      </c>
      <c r="D199" s="71">
        <v>2009</v>
      </c>
      <c r="E199" s="1">
        <v>100</v>
      </c>
      <c r="F199" s="1">
        <v>405</v>
      </c>
      <c r="G199" s="1" t="s">
        <v>7</v>
      </c>
      <c r="H199" s="1" t="s">
        <v>7</v>
      </c>
      <c r="I199" s="1">
        <v>100</v>
      </c>
      <c r="J199" s="1">
        <v>100</v>
      </c>
      <c r="K199" s="1">
        <v>100</v>
      </c>
      <c r="L199" s="1">
        <v>100</v>
      </c>
      <c r="M199" s="1">
        <v>100</v>
      </c>
      <c r="N199" s="1">
        <v>100</v>
      </c>
      <c r="O199" s="1">
        <v>100</v>
      </c>
      <c r="P199" s="1">
        <v>100</v>
      </c>
      <c r="Q199" s="1">
        <v>100</v>
      </c>
      <c r="R199" s="1">
        <v>100</v>
      </c>
      <c r="S199" s="1">
        <v>100</v>
      </c>
      <c r="T199" s="1">
        <v>100</v>
      </c>
      <c r="U199" s="1">
        <v>106</v>
      </c>
      <c r="V199" s="1">
        <v>106</v>
      </c>
      <c r="W199" s="1">
        <v>106</v>
      </c>
      <c r="X199" s="48">
        <f t="shared" si="22"/>
        <v>0.24022662889518412</v>
      </c>
    </row>
    <row r="200" spans="1:29" s="15" customFormat="1" ht="20.25" customHeight="1">
      <c r="A200" s="64">
        <v>170</v>
      </c>
      <c r="B200" s="63" t="s">
        <v>118</v>
      </c>
      <c r="C200" s="6" t="s">
        <v>300</v>
      </c>
      <c r="D200" s="71">
        <v>2019</v>
      </c>
      <c r="E200" s="1">
        <v>271</v>
      </c>
      <c r="F200" s="1">
        <v>360</v>
      </c>
      <c r="G200" s="1" t="s">
        <v>7</v>
      </c>
      <c r="H200" s="1" t="s">
        <v>7</v>
      </c>
      <c r="I200" s="1" t="s">
        <v>7</v>
      </c>
      <c r="J200" s="1" t="s">
        <v>7</v>
      </c>
      <c r="K200" s="1" t="s">
        <v>7</v>
      </c>
      <c r="L200" s="1" t="s">
        <v>7</v>
      </c>
      <c r="M200" s="1" t="s">
        <v>7</v>
      </c>
      <c r="N200" s="1" t="s">
        <v>7</v>
      </c>
      <c r="O200" s="1" t="s">
        <v>7</v>
      </c>
      <c r="P200" s="51" t="s">
        <v>7</v>
      </c>
      <c r="Q200" s="51" t="s">
        <v>7</v>
      </c>
      <c r="R200" s="51" t="s">
        <v>7</v>
      </c>
      <c r="S200" s="1">
        <v>271</v>
      </c>
      <c r="T200" s="1">
        <v>271</v>
      </c>
      <c r="U200" s="1">
        <v>271</v>
      </c>
      <c r="V200" s="1">
        <v>271</v>
      </c>
      <c r="W200" s="1">
        <v>271</v>
      </c>
      <c r="X200" s="48">
        <f t="shared" si="22"/>
        <v>0.6141643059490085</v>
      </c>
    </row>
    <row r="201" spans="1:29" ht="20.25" customHeight="1">
      <c r="A201" s="64">
        <v>171</v>
      </c>
      <c r="B201" s="63" t="s">
        <v>328</v>
      </c>
      <c r="C201" s="6" t="s">
        <v>297</v>
      </c>
      <c r="D201" s="68">
        <v>2011</v>
      </c>
      <c r="E201" s="68">
        <v>74</v>
      </c>
      <c r="F201" s="1">
        <v>400</v>
      </c>
      <c r="G201" s="1" t="s">
        <v>7</v>
      </c>
      <c r="H201" s="1" t="s">
        <v>7</v>
      </c>
      <c r="I201" s="1" t="s">
        <v>7</v>
      </c>
      <c r="J201" s="1" t="s">
        <v>7</v>
      </c>
      <c r="K201" s="1">
        <v>74</v>
      </c>
      <c r="L201" s="1">
        <v>74</v>
      </c>
      <c r="M201" s="1">
        <v>74</v>
      </c>
      <c r="N201" s="1">
        <v>74</v>
      </c>
      <c r="O201" s="1">
        <v>74</v>
      </c>
      <c r="P201" s="1">
        <v>74</v>
      </c>
      <c r="Q201" s="1">
        <v>74</v>
      </c>
      <c r="R201" s="1">
        <v>74</v>
      </c>
      <c r="S201" s="1">
        <v>74</v>
      </c>
      <c r="T201" s="1">
        <v>84</v>
      </c>
      <c r="U201" s="1">
        <v>90</v>
      </c>
      <c r="V201" s="1">
        <v>90</v>
      </c>
      <c r="W201" s="1">
        <v>90</v>
      </c>
      <c r="X201" s="48">
        <f t="shared" si="22"/>
        <v>0.20396600566572237</v>
      </c>
    </row>
    <row r="202" spans="1:29" s="15" customFormat="1" ht="20.25" customHeight="1">
      <c r="A202" s="64">
        <v>172</v>
      </c>
      <c r="B202" s="63" t="s">
        <v>366</v>
      </c>
      <c r="C202" s="6" t="s">
        <v>301</v>
      </c>
      <c r="D202" s="71">
        <v>2009</v>
      </c>
      <c r="E202" s="1">
        <v>100</v>
      </c>
      <c r="F202" s="1">
        <v>400</v>
      </c>
      <c r="G202" s="1" t="s">
        <v>7</v>
      </c>
      <c r="H202" s="1" t="s">
        <v>7</v>
      </c>
      <c r="I202" s="1">
        <v>100</v>
      </c>
      <c r="J202" s="1">
        <v>150</v>
      </c>
      <c r="K202" s="1">
        <v>150</v>
      </c>
      <c r="L202" s="1">
        <v>150</v>
      </c>
      <c r="M202" s="1">
        <v>202</v>
      </c>
      <c r="N202" s="1">
        <v>202</v>
      </c>
      <c r="O202" s="1">
        <v>202</v>
      </c>
      <c r="P202" s="1">
        <v>242</v>
      </c>
      <c r="Q202" s="1">
        <v>242</v>
      </c>
      <c r="R202" s="1">
        <v>242</v>
      </c>
      <c r="S202" s="1">
        <v>242</v>
      </c>
      <c r="T202" s="1">
        <v>242</v>
      </c>
      <c r="U202" s="1">
        <v>242</v>
      </c>
      <c r="V202" s="1">
        <v>242</v>
      </c>
      <c r="W202" s="1">
        <v>242</v>
      </c>
      <c r="X202" s="48">
        <f t="shared" si="22"/>
        <v>0.54844192634560907</v>
      </c>
      <c r="AC202" s="3"/>
    </row>
    <row r="203" spans="1:29" s="15" customFormat="1" ht="20.25" customHeight="1">
      <c r="A203" s="64">
        <v>173</v>
      </c>
      <c r="B203" s="63" t="s">
        <v>302</v>
      </c>
      <c r="C203" s="6" t="s">
        <v>303</v>
      </c>
      <c r="D203" s="71">
        <v>2012</v>
      </c>
      <c r="E203" s="1">
        <v>108</v>
      </c>
      <c r="F203" s="1">
        <v>405</v>
      </c>
      <c r="G203" s="1" t="s">
        <v>7</v>
      </c>
      <c r="H203" s="1" t="s">
        <v>7</v>
      </c>
      <c r="I203" s="1" t="s">
        <v>7</v>
      </c>
      <c r="J203" s="1" t="s">
        <v>7</v>
      </c>
      <c r="K203" s="1" t="s">
        <v>7</v>
      </c>
      <c r="L203" s="1">
        <v>200</v>
      </c>
      <c r="M203" s="1">
        <v>200</v>
      </c>
      <c r="N203" s="1">
        <v>200</v>
      </c>
      <c r="O203" s="1">
        <v>200</v>
      </c>
      <c r="P203" s="1">
        <v>200</v>
      </c>
      <c r="Q203" s="1">
        <v>200</v>
      </c>
      <c r="R203" s="1">
        <v>200</v>
      </c>
      <c r="S203" s="1">
        <v>200</v>
      </c>
      <c r="T203" s="1">
        <v>200</v>
      </c>
      <c r="U203" s="1">
        <v>200</v>
      </c>
      <c r="V203" s="1">
        <v>200</v>
      </c>
      <c r="W203" s="1">
        <v>200</v>
      </c>
      <c r="X203" s="48">
        <f t="shared" si="22"/>
        <v>0.45325779036827191</v>
      </c>
      <c r="AC203" s="3"/>
    </row>
    <row r="204" spans="1:29" s="15" customFormat="1" ht="20.25" customHeight="1">
      <c r="A204" s="64">
        <v>174</v>
      </c>
      <c r="B204" s="27" t="s">
        <v>122</v>
      </c>
      <c r="C204" s="37" t="s">
        <v>304</v>
      </c>
      <c r="D204" s="70">
        <v>2019</v>
      </c>
      <c r="E204" s="17">
        <v>254</v>
      </c>
      <c r="F204" s="17" t="s">
        <v>39</v>
      </c>
      <c r="G204" s="17" t="s">
        <v>7</v>
      </c>
      <c r="H204" s="17" t="s">
        <v>7</v>
      </c>
      <c r="I204" s="17" t="s">
        <v>7</v>
      </c>
      <c r="J204" s="17" t="s">
        <v>7</v>
      </c>
      <c r="K204" s="17" t="s">
        <v>7</v>
      </c>
      <c r="L204" s="17" t="s">
        <v>7</v>
      </c>
      <c r="M204" s="17" t="s">
        <v>7</v>
      </c>
      <c r="N204" s="17" t="s">
        <v>7</v>
      </c>
      <c r="O204" s="18" t="s">
        <v>7</v>
      </c>
      <c r="P204" s="35" t="s">
        <v>7</v>
      </c>
      <c r="Q204" s="35" t="s">
        <v>7</v>
      </c>
      <c r="R204" s="35" t="s">
        <v>7</v>
      </c>
      <c r="S204" s="17">
        <v>254</v>
      </c>
      <c r="T204" s="17">
        <v>370</v>
      </c>
      <c r="U204" s="17">
        <v>370</v>
      </c>
      <c r="V204" s="17">
        <v>370</v>
      </c>
      <c r="W204" s="17">
        <v>370</v>
      </c>
      <c r="X204" s="93">
        <f t="shared" si="22"/>
        <v>0.83852691218130304</v>
      </c>
      <c r="AC204" s="3"/>
    </row>
    <row r="205" spans="1:29" s="30" customFormat="1" ht="20.25" customHeight="1">
      <c r="A205" s="64"/>
      <c r="B205" s="66" t="s">
        <v>27</v>
      </c>
      <c r="C205" s="65"/>
      <c r="D205" s="14" t="s">
        <v>7</v>
      </c>
      <c r="E205" s="14" t="s">
        <v>7</v>
      </c>
      <c r="F205" s="14" t="s">
        <v>7</v>
      </c>
      <c r="G205" s="14" t="s">
        <v>7</v>
      </c>
      <c r="H205" s="14" t="s">
        <v>7</v>
      </c>
      <c r="I205" s="14" t="s">
        <v>7</v>
      </c>
      <c r="J205" s="14" t="s">
        <v>7</v>
      </c>
      <c r="K205" s="51">
        <f t="shared" ref="K205:U205" si="35">SUM(K206:K208)</f>
        <v>200</v>
      </c>
      <c r="L205" s="51">
        <f t="shared" si="35"/>
        <v>200</v>
      </c>
      <c r="M205" s="51">
        <f t="shared" si="35"/>
        <v>200</v>
      </c>
      <c r="N205" s="51">
        <f t="shared" si="35"/>
        <v>200</v>
      </c>
      <c r="O205" s="51">
        <f t="shared" si="35"/>
        <v>550</v>
      </c>
      <c r="P205" s="51">
        <f t="shared" si="35"/>
        <v>550</v>
      </c>
      <c r="Q205" s="51">
        <f t="shared" si="35"/>
        <v>550</v>
      </c>
      <c r="R205" s="51">
        <f t="shared" si="35"/>
        <v>550</v>
      </c>
      <c r="S205" s="51">
        <f t="shared" si="35"/>
        <v>550</v>
      </c>
      <c r="T205" s="51">
        <f t="shared" si="35"/>
        <v>550</v>
      </c>
      <c r="U205" s="51">
        <f t="shared" si="35"/>
        <v>550</v>
      </c>
      <c r="V205" s="51">
        <f t="shared" ref="V205:W205" si="36">SUM(V206:V208)</f>
        <v>550</v>
      </c>
      <c r="W205" s="51">
        <f t="shared" si="36"/>
        <v>550</v>
      </c>
      <c r="X205" s="86">
        <f t="shared" si="22"/>
        <v>1.2464589235127479</v>
      </c>
      <c r="AC205" s="3"/>
    </row>
    <row r="206" spans="1:29" s="30" customFormat="1" ht="20.25" customHeight="1">
      <c r="A206" s="64">
        <v>175</v>
      </c>
      <c r="B206" s="63" t="s">
        <v>305</v>
      </c>
      <c r="C206" s="69" t="s">
        <v>306</v>
      </c>
      <c r="D206" s="68">
        <v>2015</v>
      </c>
      <c r="E206" s="68">
        <v>240</v>
      </c>
      <c r="F206" s="1">
        <v>240</v>
      </c>
      <c r="G206" s="1" t="s">
        <v>7</v>
      </c>
      <c r="H206" s="1" t="s">
        <v>7</v>
      </c>
      <c r="I206" s="1" t="s">
        <v>7</v>
      </c>
      <c r="J206" s="1" t="s">
        <v>7</v>
      </c>
      <c r="K206" s="1" t="s">
        <v>7</v>
      </c>
      <c r="L206" s="1" t="s">
        <v>7</v>
      </c>
      <c r="M206" s="1" t="s">
        <v>7</v>
      </c>
      <c r="N206" s="1" t="s">
        <v>7</v>
      </c>
      <c r="O206" s="1">
        <v>240</v>
      </c>
      <c r="P206" s="1">
        <v>240</v>
      </c>
      <c r="Q206" s="1">
        <v>240</v>
      </c>
      <c r="R206" s="1">
        <v>240</v>
      </c>
      <c r="S206" s="1">
        <v>240</v>
      </c>
      <c r="T206" s="1">
        <v>240</v>
      </c>
      <c r="U206" s="1">
        <v>240</v>
      </c>
      <c r="V206" s="1">
        <v>240</v>
      </c>
      <c r="W206" s="1">
        <v>240</v>
      </c>
      <c r="X206" s="48">
        <f t="shared" si="22"/>
        <v>0.54390934844192629</v>
      </c>
      <c r="AC206" s="3"/>
    </row>
    <row r="207" spans="1:29" s="30" customFormat="1" ht="20.25" customHeight="1">
      <c r="A207" s="64">
        <v>176</v>
      </c>
      <c r="B207" s="63" t="s">
        <v>307</v>
      </c>
      <c r="C207" s="6" t="s">
        <v>308</v>
      </c>
      <c r="D207" s="68">
        <v>2011</v>
      </c>
      <c r="E207" s="68">
        <v>200</v>
      </c>
      <c r="F207" s="1">
        <v>420</v>
      </c>
      <c r="G207" s="1" t="s">
        <v>7</v>
      </c>
      <c r="H207" s="1" t="s">
        <v>7</v>
      </c>
      <c r="I207" s="1" t="s">
        <v>7</v>
      </c>
      <c r="J207" s="1" t="s">
        <v>7</v>
      </c>
      <c r="K207" s="1">
        <v>200</v>
      </c>
      <c r="L207" s="1">
        <v>200</v>
      </c>
      <c r="M207" s="1">
        <v>200</v>
      </c>
      <c r="N207" s="1">
        <v>200</v>
      </c>
      <c r="O207" s="1">
        <v>200</v>
      </c>
      <c r="P207" s="1">
        <v>200</v>
      </c>
      <c r="Q207" s="1">
        <v>200</v>
      </c>
      <c r="R207" s="1">
        <v>200</v>
      </c>
      <c r="S207" s="1">
        <v>200</v>
      </c>
      <c r="T207" s="1">
        <v>200</v>
      </c>
      <c r="U207" s="1">
        <v>200</v>
      </c>
      <c r="V207" s="1">
        <v>200</v>
      </c>
      <c r="W207" s="1">
        <v>200</v>
      </c>
      <c r="X207" s="48">
        <f t="shared" ref="X207:X212" si="37">W207/W$6*100</f>
        <v>0.45325779036827191</v>
      </c>
      <c r="AC207" s="3"/>
    </row>
    <row r="208" spans="1:29" s="30" customFormat="1" ht="20.25" customHeight="1">
      <c r="A208" s="64">
        <v>177</v>
      </c>
      <c r="B208" s="63" t="s">
        <v>309</v>
      </c>
      <c r="C208" s="67" t="s">
        <v>310</v>
      </c>
      <c r="D208" s="31">
        <v>2015</v>
      </c>
      <c r="E208" s="31">
        <v>110</v>
      </c>
      <c r="F208" s="18">
        <v>110</v>
      </c>
      <c r="G208" s="18" t="s">
        <v>7</v>
      </c>
      <c r="H208" s="18" t="s">
        <v>7</v>
      </c>
      <c r="I208" s="18" t="s">
        <v>7</v>
      </c>
      <c r="J208" s="18" t="s">
        <v>7</v>
      </c>
      <c r="K208" s="18" t="s">
        <v>7</v>
      </c>
      <c r="L208" s="18" t="s">
        <v>7</v>
      </c>
      <c r="M208" s="18" t="s">
        <v>7</v>
      </c>
      <c r="N208" s="18" t="s">
        <v>7</v>
      </c>
      <c r="O208" s="18">
        <v>110</v>
      </c>
      <c r="P208" s="18">
        <v>110</v>
      </c>
      <c r="Q208" s="18">
        <v>110</v>
      </c>
      <c r="R208" s="18">
        <v>110</v>
      </c>
      <c r="S208" s="18">
        <v>110</v>
      </c>
      <c r="T208" s="18">
        <v>110</v>
      </c>
      <c r="U208" s="18">
        <v>110</v>
      </c>
      <c r="V208" s="18">
        <v>110</v>
      </c>
      <c r="W208" s="18">
        <v>110</v>
      </c>
      <c r="X208" s="87">
        <f t="shared" si="37"/>
        <v>0.24929178470254956</v>
      </c>
      <c r="AC208" s="3"/>
    </row>
    <row r="209" spans="1:29" s="15" customFormat="1" ht="20.25" customHeight="1">
      <c r="A209" s="64"/>
      <c r="B209" s="66" t="s">
        <v>28</v>
      </c>
      <c r="C209" s="65"/>
      <c r="D209" s="14" t="s">
        <v>7</v>
      </c>
      <c r="E209" s="14" t="s">
        <v>7</v>
      </c>
      <c r="F209" s="14" t="s">
        <v>7</v>
      </c>
      <c r="G209" s="51">
        <f>SUM(G210)</f>
        <v>546</v>
      </c>
      <c r="H209" s="51">
        <f>SUM(H210)</f>
        <v>546</v>
      </c>
      <c r="I209" s="51">
        <f t="shared" ref="I209:U209" si="38">SUM(I210:I212)</f>
        <v>830</v>
      </c>
      <c r="J209" s="51">
        <f t="shared" si="38"/>
        <v>830</v>
      </c>
      <c r="K209" s="51">
        <f t="shared" si="38"/>
        <v>830</v>
      </c>
      <c r="L209" s="51">
        <f t="shared" si="38"/>
        <v>830</v>
      </c>
      <c r="M209" s="51">
        <f t="shared" si="38"/>
        <v>830</v>
      </c>
      <c r="N209" s="51">
        <f t="shared" si="38"/>
        <v>826</v>
      </c>
      <c r="O209" s="51">
        <f t="shared" si="38"/>
        <v>826</v>
      </c>
      <c r="P209" s="51">
        <f t="shared" si="38"/>
        <v>826</v>
      </c>
      <c r="Q209" s="51">
        <f t="shared" si="38"/>
        <v>826</v>
      </c>
      <c r="R209" s="51">
        <f t="shared" si="38"/>
        <v>826</v>
      </c>
      <c r="S209" s="51">
        <f t="shared" si="38"/>
        <v>926</v>
      </c>
      <c r="T209" s="51">
        <f t="shared" si="38"/>
        <v>926</v>
      </c>
      <c r="U209" s="51">
        <f t="shared" si="38"/>
        <v>1086</v>
      </c>
      <c r="V209" s="51">
        <f t="shared" ref="V209:W209" si="39">SUM(V210:V212)</f>
        <v>1086</v>
      </c>
      <c r="W209" s="51">
        <f t="shared" si="39"/>
        <v>1086</v>
      </c>
      <c r="X209" s="86">
        <f t="shared" si="37"/>
        <v>2.4611898016997169</v>
      </c>
      <c r="AC209" s="3"/>
    </row>
    <row r="210" spans="1:29" s="15" customFormat="1" ht="20.25" customHeight="1">
      <c r="A210" s="64">
        <v>178</v>
      </c>
      <c r="B210" s="63" t="s">
        <v>311</v>
      </c>
      <c r="C210" s="6" t="s">
        <v>312</v>
      </c>
      <c r="D210" s="62">
        <v>2007</v>
      </c>
      <c r="E210" s="1">
        <v>106</v>
      </c>
      <c r="F210" s="1">
        <v>480</v>
      </c>
      <c r="G210" s="1">
        <v>546</v>
      </c>
      <c r="H210" s="1">
        <v>546</v>
      </c>
      <c r="I210" s="1">
        <v>546</v>
      </c>
      <c r="J210" s="1">
        <v>546</v>
      </c>
      <c r="K210" s="1">
        <v>546</v>
      </c>
      <c r="L210" s="1">
        <v>546</v>
      </c>
      <c r="M210" s="1">
        <v>546</v>
      </c>
      <c r="N210" s="1">
        <v>542</v>
      </c>
      <c r="O210" s="1">
        <v>542</v>
      </c>
      <c r="P210" s="1">
        <v>542</v>
      </c>
      <c r="Q210" s="1">
        <v>542</v>
      </c>
      <c r="R210" s="1">
        <v>542</v>
      </c>
      <c r="S210" s="1">
        <v>542</v>
      </c>
      <c r="T210" s="1">
        <v>542</v>
      </c>
      <c r="U210" s="1">
        <v>542</v>
      </c>
      <c r="V210" s="1">
        <v>542</v>
      </c>
      <c r="W210" s="1">
        <v>542</v>
      </c>
      <c r="X210" s="48">
        <f t="shared" si="37"/>
        <v>1.228328611898017</v>
      </c>
      <c r="AC210" s="3"/>
    </row>
    <row r="211" spans="1:29" s="15" customFormat="1" ht="20.25" customHeight="1">
      <c r="A211" s="64">
        <v>179</v>
      </c>
      <c r="B211" s="63" t="s">
        <v>313</v>
      </c>
      <c r="C211" s="6" t="s">
        <v>314</v>
      </c>
      <c r="D211" s="62" t="s">
        <v>6</v>
      </c>
      <c r="E211" s="1">
        <v>284</v>
      </c>
      <c r="F211" s="1">
        <v>478</v>
      </c>
      <c r="G211" s="1" t="s">
        <v>7</v>
      </c>
      <c r="H211" s="1" t="s">
        <v>7</v>
      </c>
      <c r="I211" s="1">
        <v>284</v>
      </c>
      <c r="J211" s="1">
        <v>284</v>
      </c>
      <c r="K211" s="1">
        <v>284</v>
      </c>
      <c r="L211" s="1">
        <v>284</v>
      </c>
      <c r="M211" s="1">
        <v>284</v>
      </c>
      <c r="N211" s="1">
        <v>284</v>
      </c>
      <c r="O211" s="1">
        <v>284</v>
      </c>
      <c r="P211" s="1">
        <v>284</v>
      </c>
      <c r="Q211" s="1">
        <v>284</v>
      </c>
      <c r="R211" s="1">
        <v>284</v>
      </c>
      <c r="S211" s="1">
        <v>284</v>
      </c>
      <c r="T211" s="1">
        <v>284</v>
      </c>
      <c r="U211" s="1">
        <v>284</v>
      </c>
      <c r="V211" s="1">
        <v>284</v>
      </c>
      <c r="W211" s="1">
        <v>284</v>
      </c>
      <c r="X211" s="48">
        <f t="shared" si="37"/>
        <v>0.64362606232294617</v>
      </c>
      <c r="AC211" s="3"/>
    </row>
    <row r="212" spans="1:29" s="15" customFormat="1" ht="20.25" customHeight="1">
      <c r="A212" s="32">
        <v>180</v>
      </c>
      <c r="B212" s="61" t="s">
        <v>120</v>
      </c>
      <c r="C212" s="60" t="s">
        <v>315</v>
      </c>
      <c r="D212" s="59" t="s">
        <v>114</v>
      </c>
      <c r="E212" s="2">
        <v>100</v>
      </c>
      <c r="F212" s="2">
        <v>531</v>
      </c>
      <c r="G212" s="2" t="s">
        <v>7</v>
      </c>
      <c r="H212" s="2" t="s">
        <v>7</v>
      </c>
      <c r="I212" s="2" t="s">
        <v>7</v>
      </c>
      <c r="J212" s="2" t="s">
        <v>7</v>
      </c>
      <c r="K212" s="2" t="s">
        <v>7</v>
      </c>
      <c r="L212" s="2" t="s">
        <v>7</v>
      </c>
      <c r="M212" s="2" t="s">
        <v>7</v>
      </c>
      <c r="N212" s="2" t="s">
        <v>7</v>
      </c>
      <c r="O212" s="2" t="s">
        <v>7</v>
      </c>
      <c r="P212" s="2" t="s">
        <v>7</v>
      </c>
      <c r="Q212" s="2" t="s">
        <v>7</v>
      </c>
      <c r="R212" s="36" t="s">
        <v>7</v>
      </c>
      <c r="S212" s="2">
        <v>100</v>
      </c>
      <c r="T212" s="2">
        <v>100</v>
      </c>
      <c r="U212" s="2">
        <v>260</v>
      </c>
      <c r="V212" s="2">
        <v>260</v>
      </c>
      <c r="W212" s="2">
        <v>260</v>
      </c>
      <c r="X212" s="94">
        <f t="shared" si="37"/>
        <v>0.58923512747875351</v>
      </c>
      <c r="AC212" s="3"/>
    </row>
    <row r="213" spans="1:29" s="15" customFormat="1" ht="11.25" customHeight="1">
      <c r="A213" s="44"/>
      <c r="B213" s="53" t="s">
        <v>112</v>
      </c>
      <c r="C213" s="38"/>
      <c r="D213" s="58"/>
      <c r="E213" s="56"/>
      <c r="F213" s="57"/>
      <c r="G213" s="56"/>
      <c r="H213" s="56"/>
      <c r="I213" s="56"/>
      <c r="J213" s="56"/>
      <c r="K213" s="56"/>
      <c r="L213" s="56"/>
      <c r="M213" s="56"/>
      <c r="N213" s="56"/>
      <c r="O213" s="56"/>
      <c r="P213" s="56"/>
      <c r="Q213" s="56"/>
      <c r="R213" s="56"/>
      <c r="S213" s="56"/>
      <c r="T213" s="56"/>
      <c r="U213" s="56"/>
      <c r="V213" s="56"/>
      <c r="W213" s="56"/>
      <c r="X213" s="55"/>
      <c r="AC213" s="3"/>
    </row>
    <row r="214" spans="1:29">
      <c r="A214" s="54"/>
      <c r="B214" s="53" t="s">
        <v>8</v>
      </c>
      <c r="C214" s="38"/>
      <c r="D214" s="52"/>
      <c r="E214" s="52"/>
      <c r="F214" s="52"/>
      <c r="G214" s="52"/>
      <c r="H214" s="52"/>
      <c r="I214" s="52"/>
      <c r="J214" s="52"/>
      <c r="K214" s="52"/>
      <c r="L214" s="52"/>
      <c r="M214" s="52"/>
      <c r="N214" s="52"/>
      <c r="O214" s="52"/>
      <c r="P214" s="52"/>
      <c r="Q214" s="52"/>
      <c r="R214" s="52"/>
      <c r="S214" s="52"/>
      <c r="T214" s="52"/>
      <c r="U214" s="52"/>
      <c r="V214" s="52"/>
      <c r="W214" s="52"/>
    </row>
    <row r="215" spans="1:29">
      <c r="A215" s="43" t="s">
        <v>329</v>
      </c>
      <c r="B215" s="33"/>
      <c r="C215" s="50"/>
    </row>
    <row r="216" spans="1:29">
      <c r="A216" s="97" t="s">
        <v>330</v>
      </c>
      <c r="B216" s="33"/>
      <c r="C216" s="50"/>
    </row>
    <row r="218" spans="1:29">
      <c r="B218" s="49"/>
      <c r="C218" s="48"/>
    </row>
    <row r="220" spans="1:29">
      <c r="B220" s="49"/>
      <c r="C220" s="48"/>
    </row>
    <row r="333" spans="2:23">
      <c r="B333" s="47"/>
      <c r="C333" s="46"/>
      <c r="D333" s="45"/>
      <c r="E333" s="45"/>
      <c r="F333" s="45"/>
      <c r="G333" s="45"/>
      <c r="H333" s="45"/>
      <c r="I333" s="45"/>
      <c r="J333" s="45"/>
      <c r="K333" s="45"/>
      <c r="L333" s="45"/>
      <c r="M333" s="45"/>
      <c r="N333" s="45"/>
      <c r="O333" s="45"/>
      <c r="P333" s="45"/>
      <c r="Q333" s="45"/>
      <c r="R333" s="45"/>
      <c r="S333" s="45"/>
      <c r="T333" s="45"/>
      <c r="U333" s="45"/>
      <c r="V333" s="45"/>
      <c r="W333" s="45"/>
    </row>
    <row r="336" spans="2:23">
      <c r="I336" s="8" t="s">
        <v>113</v>
      </c>
    </row>
  </sheetData>
  <mergeCells count="5">
    <mergeCell ref="B4:B5"/>
    <mergeCell ref="C4:C5"/>
    <mergeCell ref="B2:X2"/>
    <mergeCell ref="B1:X1"/>
    <mergeCell ref="K4:W4"/>
  </mergeCells>
  <pageMargins left="0.7" right="0.7" top="0.75" bottom="0.75" header="0.3" footer="0.3"/>
  <pageSetup paperSize="9" scale="40" orientation="portrait" horizontalDpi="4294967295" verticalDpi="4294967295" r:id="rId1"/>
  <ignoredErrors>
    <ignoredError sqref="R11:U11 M61:U61 M75:U75 M137:U137 M151:T151 M193:U195 X213 K195:L195" unlockedFormula="1"/>
    <ignoredError sqref="D180:D212 D12 D74:D78 D80:D104 D109:D115 D176:D178 D29:D44 D46:D70 D117:D125 D106:D107 D127:D153 D155:D174 D14:D26" numberStoredAsText="1"/>
  </ignoredError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10.14</vt:lpstr>
      <vt:lpstr>'10.14'!Print_Area</vt:lpstr>
      <vt:lpstr>'10.14'!Print_Titles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2024-07-10T03:26:48Z</cp:lastPrinted>
  <dcterms:created xsi:type="dcterms:W3CDTF">2019-02-27T06:18:18Z</dcterms:created>
  <dcterms:modified xsi:type="dcterms:W3CDTF">2024-07-10T03:27:18Z</dcterms:modified>
</cp:coreProperties>
</file>