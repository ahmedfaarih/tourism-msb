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A2681FE3-97EE-4B50-89C5-A58EB052F602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9" sheetId="9" r:id="rId1"/>
  </sheets>
  <externalReferences>
    <externalReference r:id="rId2"/>
  </externalReferences>
  <definedNames>
    <definedName name="_xlnm.Print_Area" localSheetId="0">'10.9'!$A$1:$AD$39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2" i="9" l="1"/>
  <c r="AB11" i="9"/>
  <c r="AB13" i="9"/>
  <c r="AB14" i="9"/>
  <c r="AB15" i="9"/>
  <c r="AB16" i="9"/>
  <c r="AB17" i="9"/>
  <c r="AB18" i="9"/>
  <c r="AB19" i="9"/>
  <c r="AB20" i="9"/>
  <c r="AB10" i="9"/>
  <c r="Z11" i="9"/>
  <c r="Z12" i="9"/>
  <c r="Z13" i="9"/>
  <c r="Z14" i="9"/>
  <c r="Z15" i="9"/>
  <c r="Z16" i="9"/>
  <c r="Z17" i="9"/>
  <c r="Z18" i="9"/>
  <c r="Z19" i="9"/>
  <c r="Z20" i="9"/>
  <c r="Z10" i="9"/>
  <c r="AB9" i="9"/>
  <c r="Z9" i="9"/>
  <c r="W9" i="9"/>
  <c r="Y9" i="9"/>
  <c r="W10" i="9"/>
  <c r="Y10" i="9"/>
  <c r="W11" i="9"/>
  <c r="Y11" i="9"/>
  <c r="W12" i="9"/>
  <c r="Y12" i="9"/>
  <c r="W13" i="9"/>
  <c r="Y13" i="9"/>
  <c r="W14" i="9"/>
  <c r="Y14" i="9"/>
  <c r="W15" i="9"/>
  <c r="Y15" i="9"/>
  <c r="W16" i="9"/>
  <c r="Y16" i="9"/>
  <c r="W17" i="9"/>
  <c r="Y17" i="9"/>
  <c r="W18" i="9"/>
  <c r="Y18" i="9"/>
  <c r="W19" i="9"/>
  <c r="Y19" i="9"/>
  <c r="W20" i="9"/>
  <c r="Y20" i="9"/>
  <c r="V8" i="9"/>
  <c r="K8" i="9"/>
  <c r="U8" i="9" l="1"/>
  <c r="Y8" i="9" s="1"/>
  <c r="J8" i="9"/>
  <c r="W8" i="9" s="1"/>
  <c r="T8" i="9" l="1"/>
  <c r="I8" i="9"/>
  <c r="S8" i="9" l="1"/>
  <c r="H8" i="9"/>
  <c r="R8" i="9" l="1"/>
  <c r="F8" i="9"/>
  <c r="Q8" i="9" l="1"/>
  <c r="P8" i="9"/>
  <c r="O8" i="9"/>
  <c r="N8" i="9"/>
  <c r="M8" i="9"/>
  <c r="G8" i="9"/>
  <c r="E8" i="9"/>
  <c r="D8" i="9"/>
  <c r="C8" i="9"/>
  <c r="B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</authors>
  <commentList>
    <comment ref="I8" authorId="0" shapeId="0" xr:uid="{C51AEA76-11AE-44EC-8D64-A3DCEA0A4F85}">
      <text>
        <r>
          <rPr>
            <sz val="9"/>
            <color indexed="81"/>
            <rFont val="Tahoma"/>
            <family val="2"/>
          </rPr>
          <t xml:space="preserve">
Amended on 19 Feb 23
</t>
        </r>
      </text>
    </comment>
  </commentList>
</comments>
</file>

<file path=xl/sharedStrings.xml><?xml version="1.0" encoding="utf-8"?>
<sst xmlns="http://schemas.openxmlformats.org/spreadsheetml/2006/main" count="68" uniqueCount="58">
  <si>
    <t>Total</t>
  </si>
  <si>
    <t>Source: Ministry of Tourism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</si>
  <si>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</si>
  <si>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</si>
  <si>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</si>
  <si>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</si>
  <si>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</si>
  <si>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</si>
  <si>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</si>
  <si>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</si>
  <si>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</si>
  <si>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</si>
  <si>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</si>
  <si>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</si>
  <si>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</si>
  <si>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</si>
  <si>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</si>
  <si>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</si>
  <si>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</si>
  <si>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</si>
  <si>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</si>
  <si>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</si>
  <si>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</si>
  <si>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</si>
  <si>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</si>
  <si>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</si>
  <si>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</si>
  <si>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</si>
  <si>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</si>
  <si>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</si>
  <si>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</si>
  <si>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</si>
  <si>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</si>
  <si>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</si>
  <si>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</si>
  <si>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</si>
  <si>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</si>
  <si>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</si>
  <si>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</si>
  <si>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</si>
  <si>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</si>
  <si>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</si>
  <si>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</si>
  <si>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</si>
  <si>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</si>
  <si>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</si>
  <si>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</si>
  <si>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</si>
  <si>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</si>
  <si>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</si>
  <si>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</si>
  <si>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Note: * Tourist Bed night figures include resorts/hotels/safaris &amp; guesthouses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</si>
  <si>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</si>
  <si>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</si>
  <si>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 xml:space="preserve">(*) - Indicates if the percentage change is greater than 100. </t>
  </si>
  <si>
    <t xml:space="preserve">Table 10.9: TOURIST ARRIVALS,AND TOURIST BED-NIGHTS BY MONTH,  2017 - 2023
</t>
  </si>
  <si>
    <t>2023 - 2017 , udwdwA egEr irukwdEh cnirevurutwf iaWrwviawa cnirevurutwf iawguhwmcswmikea : 10.9 ulwvWt</t>
  </si>
  <si>
    <t>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</si>
</sst>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71" formatCode="0.00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indexed="81"/>
      <name val="Tahoma"/>
      <family val="2"/>
    </font>
    <font>
      <b/>
      <sz val="12"/>
      <color theme="1"/>
      <name val="A_Randhoo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2"/>
      <color theme="1"/>
      <name val="A_Utheem"/>
    </font>
    <font>
      <b/>
      <sz val="9.5"/>
      <color theme="1"/>
      <name val="Faruma"/>
    </font>
    <font>
      <sz val="9"/>
      <color theme="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9" fillId="0" borderId="0"/>
    <xf numFmtId="0" fontId="3" fillId="0" borderId="0"/>
    <xf numFmtId="43" fontId="3" fillId="0" borderId="0" applyFont="0" applyFill="0" applyBorder="0" applyAlignment="0" applyProtection="0"/>
    <xf numFmtId="171" fontId="20" fillId="0" borderId="0"/>
    <xf numFmtId="1" fontId="21" fillId="0" borderId="23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9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1" fontId="21" fillId="0" borderId="23" applyNumberFormat="0"/>
    <xf numFmtId="0" fontId="1" fillId="0" borderId="0"/>
    <xf numFmtId="0" fontId="4" fillId="0" borderId="0"/>
    <xf numFmtId="0" fontId="28" fillId="0" borderId="0" applyFill="0" applyProtection="0"/>
    <xf numFmtId="1" fontId="21" fillId="0" borderId="23" applyNumberFormat="0"/>
    <xf numFmtId="43" fontId="1" fillId="0" borderId="0" applyFont="0" applyFill="0" applyBorder="0" applyAlignment="0" applyProtection="0"/>
    <xf numFmtId="0" fontId="1" fillId="0" borderId="0"/>
    <xf numFmtId="0" fontId="29" fillId="0" borderId="0"/>
    <xf numFmtId="0" fontId="30" fillId="0" borderId="0"/>
    <xf numFmtId="0" fontId="29" fillId="0" borderId="0"/>
    <xf numFmtId="0" fontId="1" fillId="0" borderId="0"/>
    <xf numFmtId="0" fontId="4" fillId="0" borderId="0"/>
    <xf numFmtId="0" fontId="28" fillId="0" borderId="0" applyFill="0" applyProtection="0"/>
    <xf numFmtId="1" fontId="21" fillId="0" borderId="23" applyNumberFormat="0"/>
    <xf numFmtId="0" fontId="1" fillId="0" borderId="0"/>
    <xf numFmtId="0" fontId="3" fillId="0" borderId="0"/>
    <xf numFmtId="0" fontId="29" fillId="0" borderId="0"/>
    <xf numFmtId="0" fontId="30" fillId="0" borderId="0"/>
    <xf numFmtId="0" fontId="3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31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1" fillId="0" borderId="0" applyBorder="0"/>
    <xf numFmtId="0" fontId="1" fillId="0" borderId="0"/>
    <xf numFmtId="0" fontId="1" fillId="0" borderId="0"/>
    <xf numFmtId="1" fontId="21" fillId="0" borderId="23" applyNumberFormat="0"/>
    <xf numFmtId="1" fontId="21" fillId="0" borderId="23" applyNumberFormat="0"/>
    <xf numFmtId="1" fontId="21" fillId="0" borderId="23" applyNumberFormat="0"/>
    <xf numFmtId="1" fontId="21" fillId="0" borderId="23" applyNumberFormat="0"/>
    <xf numFmtId="1" fontId="21" fillId="0" borderId="23" applyNumberFormat="0"/>
    <xf numFmtId="1" fontId="21" fillId="0" borderId="23" applyNumberFormat="0"/>
    <xf numFmtId="1" fontId="21" fillId="0" borderId="23" applyNumberFormat="0"/>
    <xf numFmtId="0" fontId="1" fillId="0" borderId="0"/>
    <xf numFmtId="0" fontId="1" fillId="0" borderId="0"/>
    <xf numFmtId="0" fontId="31" fillId="0" borderId="0" applyBorder="0"/>
    <xf numFmtId="0" fontId="31" fillId="0" borderId="0"/>
    <xf numFmtId="0" fontId="1" fillId="0" borderId="0"/>
    <xf numFmtId="0" fontId="4" fillId="0" borderId="0"/>
    <xf numFmtId="0" fontId="4" fillId="0" borderId="0"/>
    <xf numFmtId="1" fontId="21" fillId="0" borderId="23" applyNumberFormat="0"/>
  </cellStyleXfs>
  <cellXfs count="106">
    <xf numFmtId="0" fontId="0" fillId="0" borderId="0" xfId="0"/>
    <xf numFmtId="0" fontId="5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3" fontId="9" fillId="2" borderId="6" xfId="0" applyNumberFormat="1" applyFont="1" applyFill="1" applyBorder="1" applyAlignment="1">
      <alignment horizontal="right" vertical="center"/>
    </xf>
    <xf numFmtId="0" fontId="13" fillId="2" borderId="0" xfId="0" applyFont="1" applyFill="1"/>
    <xf numFmtId="0" fontId="14" fillId="2" borderId="0" xfId="0" applyFont="1" applyFill="1"/>
    <xf numFmtId="3" fontId="7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right" vertical="top" wrapText="1"/>
    </xf>
    <xf numFmtId="0" fontId="10" fillId="2" borderId="21" xfId="0" applyFont="1" applyFill="1" applyBorder="1" applyAlignment="1">
      <alignment vertical="top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8" xfId="0" applyNumberFormat="1" applyFont="1" applyFill="1" applyBorder="1" applyAlignment="1">
      <alignment horizontal="right" vertical="center"/>
    </xf>
    <xf numFmtId="3" fontId="8" fillId="2" borderId="7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indent="1"/>
    </xf>
    <xf numFmtId="3" fontId="9" fillId="2" borderId="8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left" vertical="center" indent="1"/>
    </xf>
    <xf numFmtId="3" fontId="7" fillId="2" borderId="6" xfId="0" applyNumberFormat="1" applyFont="1" applyFill="1" applyBorder="1" applyAlignment="1">
      <alignment horizontal="right" vertical="center"/>
    </xf>
    <xf numFmtId="3" fontId="9" fillId="2" borderId="9" xfId="0" applyNumberFormat="1" applyFont="1" applyFill="1" applyBorder="1" applyAlignment="1">
      <alignment horizontal="right" vertical="center"/>
    </xf>
    <xf numFmtId="37" fontId="13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 indent="1"/>
    </xf>
    <xf numFmtId="0" fontId="8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/>
    </xf>
    <xf numFmtId="0" fontId="8" fillId="2" borderId="24" xfId="0" applyFont="1" applyFill="1" applyBorder="1" applyAlignment="1">
      <alignment horizontal="right" vertical="center" wrapText="1"/>
    </xf>
    <xf numFmtId="3" fontId="8" fillId="2" borderId="13" xfId="0" applyNumberFormat="1" applyFont="1" applyFill="1" applyBorder="1" applyAlignment="1">
      <alignment horizontal="right" vertical="center"/>
    </xf>
    <xf numFmtId="3" fontId="9" fillId="2" borderId="13" xfId="0" applyNumberFormat="1" applyFont="1" applyFill="1" applyBorder="1" applyAlignment="1">
      <alignment horizontal="right" vertical="center"/>
    </xf>
    <xf numFmtId="3" fontId="9" fillId="2" borderId="12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right" vertical="center" indent="1"/>
    </xf>
    <xf numFmtId="0" fontId="24" fillId="2" borderId="0" xfId="0" applyFont="1" applyFill="1" applyAlignment="1">
      <alignment horizontal="right" vertical="center" indent="2"/>
    </xf>
    <xf numFmtId="0" fontId="24" fillId="2" borderId="6" xfId="0" applyFont="1" applyFill="1" applyBorder="1" applyAlignment="1">
      <alignment horizontal="right" vertical="center" indent="2"/>
    </xf>
    <xf numFmtId="0" fontId="24" fillId="2" borderId="0" xfId="0" applyFont="1" applyFill="1" applyAlignment="1">
      <alignment horizontal="right" vertical="center"/>
    </xf>
    <xf numFmtId="0" fontId="24" fillId="2" borderId="0" xfId="0" applyFont="1" applyFill="1"/>
    <xf numFmtId="0" fontId="26" fillId="2" borderId="0" xfId="0" applyFont="1" applyFill="1"/>
    <xf numFmtId="0" fontId="18" fillId="2" borderId="0" xfId="0" applyFont="1" applyFill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164" fontId="9" fillId="2" borderId="6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3" fontId="9" fillId="2" borderId="7" xfId="0" applyNumberFormat="1" applyFont="1" applyFill="1" applyBorder="1" applyAlignment="1">
      <alignment horizontal="right" vertical="center"/>
    </xf>
    <xf numFmtId="0" fontId="27" fillId="2" borderId="0" xfId="21" applyFont="1" applyFill="1" applyAlignment="1">
      <alignment horizontal="left" vertical="center" indent="3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10" fillId="2" borderId="21" xfId="0" applyFont="1" applyFill="1" applyBorder="1" applyAlignment="1">
      <alignment horizontal="right" vertical="center" wrapText="1" indent="2"/>
    </xf>
    <xf numFmtId="0" fontId="10" fillId="2" borderId="1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17" xfId="0" applyFont="1" applyFill="1" applyBorder="1" applyAlignment="1">
      <alignment horizontal="right" vertical="center" wrapText="1"/>
    </xf>
    <xf numFmtId="3" fontId="9" fillId="2" borderId="3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right" vertical="center" indent="1"/>
    </xf>
    <xf numFmtId="0" fontId="23" fillId="2" borderId="0" xfId="0" applyFont="1" applyFill="1" applyAlignment="1">
      <alignment horizontal="right" vertical="center" indent="1"/>
    </xf>
    <xf numFmtId="0" fontId="23" fillId="2" borderId="6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top"/>
    </xf>
    <xf numFmtId="0" fontId="17" fillId="2" borderId="4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right" vertical="center" indent="5"/>
    </xf>
    <xf numFmtId="164" fontId="9" fillId="2" borderId="0" xfId="0" applyNumberFormat="1" applyFont="1" applyFill="1" applyAlignment="1">
      <alignment horizontal="right" vertical="center" indent="5"/>
    </xf>
    <xf numFmtId="164" fontId="9" fillId="2" borderId="9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right" vertical="center" indent="5"/>
    </xf>
    <xf numFmtId="164" fontId="9" fillId="2" borderId="6" xfId="0" applyNumberFormat="1" applyFont="1" applyFill="1" applyBorder="1" applyAlignment="1">
      <alignment horizontal="right" vertical="center" indent="5"/>
    </xf>
  </cellXfs>
  <cellStyles count="76">
    <cellStyle name="1" xfId="5" xr:uid="{00000000-0005-0000-0000-000000000000}"/>
    <cellStyle name="Comma 2" xfId="19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6" xr:uid="{00000000-0005-0000-0000-000003000000}"/>
    <cellStyle name="Comma 3 2" xfId="50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3" xfId="9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1" xr:uid="{00000000-0005-0000-0000-00000E000000}"/>
    <cellStyle name="Normal 5 2" xfId="3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6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7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8" xr:uid="{00000000-0005-0000-0000-000012000000}"/>
    <cellStyle name="Normal 8 2" xfId="52" xr:uid="{2C19882A-370B-4CF1-8D87-E650A5A0EE91}"/>
    <cellStyle name="Normal 9" xfId="4" xr:uid="{00000000-0005-0000-0000-000013000000}"/>
    <cellStyle name="Normal_Quick data" xfId="21" xr:uid="{00000000-0005-0000-0000-000015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Percentage change of tourist arrivals and bed-nights compared to same month of previous year, 2022-2023</a:t>
            </a:r>
          </a:p>
        </c:rich>
      </c:tx>
      <c:layout>
        <c:manualLayout>
          <c:xMode val="edge"/>
          <c:yMode val="edge"/>
          <c:x val="0.2095852282728923"/>
          <c:y val="3.3451727608320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73101123789999E-2"/>
          <c:y val="0.13004934030374077"/>
          <c:w val="0.93653384236061399"/>
          <c:h val="0.78658340081509959"/>
        </c:manualLayout>
      </c:layout>
      <c:lineChart>
        <c:grouping val="standard"/>
        <c:varyColors val="0"/>
        <c:ser>
          <c:idx val="0"/>
          <c:order val="0"/>
          <c:tx>
            <c:strRef>
              <c:f>'10.9'!$W$5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 w="28575" cap="rnd">
              <a:solidFill>
                <a:srgbClr val="006F6C"/>
              </a:solidFill>
              <a:round/>
            </a:ln>
            <a:effectLst/>
          </c:spPr>
          <c:marker>
            <c:symbol val="none"/>
          </c:marker>
          <c:cat>
            <c:strRef>
              <c:f>'10.9'!$AU$50:$AU$61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'10.9'!$W$9:$W$20</c:f>
              <c:numCache>
                <c:formatCode>0.0</c:formatCode>
                <c:ptCount val="12"/>
                <c:pt idx="0">
                  <c:v>16.490242304290614</c:v>
                </c:pt>
                <c:pt idx="1">
                  <c:v>16.539199076039136</c:v>
                </c:pt>
                <c:pt idx="2">
                  <c:v>9.3778323942401709</c:v>
                </c:pt>
                <c:pt idx="3">
                  <c:v>8.4587940354823754</c:v>
                </c:pt>
                <c:pt idx="4">
                  <c:v>-4.0722713880768975</c:v>
                </c:pt>
                <c:pt idx="5">
                  <c:v>1.9799084883217466</c:v>
                </c:pt>
                <c:pt idx="6">
                  <c:v>-8.4567838867811602</c:v>
                </c:pt>
                <c:pt idx="7">
                  <c:v>4.4322238607478859</c:v>
                </c:pt>
                <c:pt idx="8">
                  <c:v>5.5877357998332711</c:v>
                </c:pt>
                <c:pt idx="9">
                  <c:v>1.1321457021227888</c:v>
                </c:pt>
                <c:pt idx="10">
                  <c:v>8.0814298099984647</c:v>
                </c:pt>
                <c:pt idx="11">
                  <c:v>-0.85436840755122034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E-431C-B417-85C814120BDD}"/>
            </c:ext>
          </c:extLst>
        </c:ser>
        <c:ser>
          <c:idx val="2"/>
          <c:order val="2"/>
          <c:tx>
            <c:strRef>
              <c:f>'10.9'!$AB$5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rgbClr val="00DFDA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024024024024024E-2"/>
                  <c:y val="-3.41179682481263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10-49A5-BBE3-4FD02FC3549E}"/>
                </c:ext>
              </c:extLst>
            </c:dLbl>
            <c:dLbl>
              <c:idx val="1"/>
              <c:layout>
                <c:manualLayout>
                  <c:x val="-1.8685352018685351E-2"/>
                  <c:y val="-3.8382714279142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10-49A5-BBE3-4FD02FC3549E}"/>
                </c:ext>
              </c:extLst>
            </c:dLbl>
            <c:dLbl>
              <c:idx val="2"/>
              <c:layout>
                <c:manualLayout>
                  <c:x val="-1.4681348014681348E-2"/>
                  <c:y val="-3.8382714279142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10-49A5-BBE3-4FD02FC3549E}"/>
                </c:ext>
              </c:extLst>
            </c:dLbl>
            <c:dLbl>
              <c:idx val="3"/>
              <c:layout>
                <c:manualLayout>
                  <c:x val="-2.002002002002002E-2"/>
                  <c:y val="-3.8382714279142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10-49A5-BBE3-4FD02FC3549E}"/>
                </c:ext>
              </c:extLst>
            </c:dLbl>
            <c:dLbl>
              <c:idx val="4"/>
              <c:layout>
                <c:manualLayout>
                  <c:x val="-2.1354688021354738E-2"/>
                  <c:y val="8.1030174589299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10-49A5-BBE3-4FD02FC3549E}"/>
                </c:ext>
              </c:extLst>
            </c:dLbl>
            <c:dLbl>
              <c:idx val="5"/>
              <c:layout>
                <c:manualLayout>
                  <c:x val="-1.7350684017350685E-2"/>
                  <c:y val="-4.2647460310157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10-49A5-BBE3-4FD02FC3549E}"/>
                </c:ext>
              </c:extLst>
            </c:dLbl>
            <c:dLbl>
              <c:idx val="6"/>
              <c:layout>
                <c:manualLayout>
                  <c:x val="-2.0020020020020117E-2"/>
                  <c:y val="5.1176952372189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10-49A5-BBE3-4FD02FC3549E}"/>
                </c:ext>
              </c:extLst>
            </c:dLbl>
            <c:dLbl>
              <c:idx val="7"/>
              <c:layout>
                <c:manualLayout>
                  <c:x val="-2.002002002002002E-2"/>
                  <c:y val="4.6912206341173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10-49A5-BBE3-4FD02FC3549E}"/>
                </c:ext>
              </c:extLst>
            </c:dLbl>
            <c:dLbl>
              <c:idx val="8"/>
              <c:layout>
                <c:manualLayout>
                  <c:x val="-2.4024024024024024E-2"/>
                  <c:y val="-4.2647460310157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10-49A5-BBE3-4FD02FC3549E}"/>
                </c:ext>
              </c:extLst>
            </c:dLbl>
            <c:dLbl>
              <c:idx val="9"/>
              <c:layout>
                <c:manualLayout>
                  <c:x val="-1.8685352018685351E-2"/>
                  <c:y val="-5.1176952372189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10-49A5-BBE3-4FD02FC3549E}"/>
                </c:ext>
              </c:extLst>
            </c:dLbl>
            <c:dLbl>
              <c:idx val="10"/>
              <c:layout>
                <c:manualLayout>
                  <c:x val="-2.4024024024024024E-2"/>
                  <c:y val="-4.6912206341173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10-49A5-BBE3-4FD02FC3549E}"/>
                </c:ext>
              </c:extLst>
            </c:dLbl>
            <c:dLbl>
              <c:idx val="11"/>
              <c:layout>
                <c:manualLayout>
                  <c:x val="-1.7350684017350879E-2"/>
                  <c:y val="-4.2647460310157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10-49A5-BBE3-4FD02FC354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'10.9'!$AU$50:$AU$61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'10.9'!$Y$9:$Y$20</c:f>
              <c:numCache>
                <c:formatCode>0.0</c:formatCode>
                <c:ptCount val="12"/>
                <c:pt idx="0">
                  <c:v>30.914127423822713</c:v>
                </c:pt>
                <c:pt idx="1">
                  <c:v>19.397225708169195</c:v>
                </c:pt>
                <c:pt idx="2">
                  <c:v>15.102024570806915</c:v>
                </c:pt>
                <c:pt idx="3">
                  <c:v>13.129637532522963</c:v>
                </c:pt>
                <c:pt idx="4">
                  <c:v>-3.6398253776049994</c:v>
                </c:pt>
                <c:pt idx="5">
                  <c:v>8.547594354511423</c:v>
                </c:pt>
                <c:pt idx="6">
                  <c:v>9.0288332671962568</c:v>
                </c:pt>
                <c:pt idx="7">
                  <c:v>17.435520198994414</c:v>
                </c:pt>
                <c:pt idx="8">
                  <c:v>16.949440108585012</c:v>
                </c:pt>
                <c:pt idx="9">
                  <c:v>3.5150939591640284</c:v>
                </c:pt>
                <c:pt idx="10">
                  <c:v>11.418378878858437</c:v>
                </c:pt>
                <c:pt idx="11">
                  <c:v>5.783722989823481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0-42B2-8870-4B5A4AB82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1648"/>
        <c:axId val="4049149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'10.9'!$AU$50:$AU$61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'10.9'!$AA$9:$AA$20</c15:sqref>
                        </c15:formulaRef>
                      </c:ext>
                    </c:extLst>
                    <c:numCache>
                      <c:formatCode>0.0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5DE-431C-B417-85C814120BDD}"/>
                  </c:ext>
                </c:extLst>
              </c15:ser>
            </c15:filteredLineSeries>
          </c:ext>
        </c:extLst>
      </c:lineChart>
      <c:catAx>
        <c:axId val="4049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4984"/>
        <c:crosses val="autoZero"/>
        <c:auto val="1"/>
        <c:lblAlgn val="ctr"/>
        <c:lblOffset val="100"/>
        <c:noMultiLvlLbl val="0"/>
      </c:catAx>
      <c:valAx>
        <c:axId val="404914984"/>
        <c:scaling>
          <c:orientation val="minMax"/>
          <c:min val="-40"/>
        </c:scaling>
        <c:delete val="0"/>
        <c:axPos val="l"/>
        <c:majorGridlines>
          <c:spPr>
            <a:ln w="9525" cap="flat" cmpd="sng" algn="ctr">
              <a:solidFill>
                <a:srgbClr val="C5FFFF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solidFill>
            <a:srgbClr val="FCFDFE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1648"/>
        <c:crosses val="autoZero"/>
        <c:crossBetween val="between"/>
      </c:valAx>
      <c:spPr>
        <a:solidFill>
          <a:srgbClr val="EFFFFF"/>
        </a:solidFill>
        <a:ln>
          <a:solidFill>
            <a:schemeClr val="accent1">
              <a:lumMod val="20000"/>
              <a:lumOff val="8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3176015910924044"/>
          <c:y val="0.72743940954423292"/>
          <c:w val="0.3085199664727224"/>
          <c:h val="6.037031462134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230544</xdr:colOff>
      <xdr:row>23</xdr:row>
      <xdr:rowOff>49881</xdr:rowOff>
    </xdr:from>
    <xdr:to>
      <xdr:col>27</xdr:col>
      <xdr:colOff>212855</xdr:colOff>
      <xdr:row>38</xdr:row>
      <xdr:rowOff>94084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300771</xdr:colOff>
      <xdr:row>37</xdr:row>
      <xdr:rowOff>104969</xdr:rowOff>
    </xdr:from>
    <xdr:to>
      <xdr:col>20</xdr:col>
      <xdr:colOff>275642</xdr:colOff>
      <xdr:row>38</xdr:row>
      <xdr:rowOff>96272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4791128" y="8502520"/>
          <a:ext cx="4766529" cy="195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61"/>
  <sheetViews>
    <sheetView tabSelected="1" zoomScaleNormal="100" zoomScaleSheetLayoutView="98" workbookViewId="0">
      <selection activeCell="AF16" sqref="AF16"/>
    </sheetView>
  </sheetViews>
  <sheetFormatPr defaultColWidth="9.140625" defaultRowHeight="15.75"/>
  <cols>
    <col min="1" max="1" width="12.28515625" style="6" customWidth="1"/>
    <col min="2" max="4" width="12.28515625" style="6" hidden="1" customWidth="1"/>
    <col min="5" max="11" width="10.28515625" style="6" customWidth="1"/>
    <col min="12" max="12" width="0.85546875" style="6" customWidth="1"/>
    <col min="13" max="15" width="11.140625" style="6" hidden="1" customWidth="1"/>
    <col min="16" max="22" width="10" style="6" customWidth="1"/>
    <col min="23" max="23" width="17.28515625" style="6" customWidth="1"/>
    <col min="24" max="24" width="1.5703125" style="6" customWidth="1"/>
    <col min="25" max="25" width="13.140625" style="6" customWidth="1"/>
    <col min="26" max="26" width="17.140625" style="6" customWidth="1"/>
    <col min="27" max="27" width="2.42578125" style="6" customWidth="1"/>
    <col min="28" max="28" width="12.85546875" style="6" customWidth="1"/>
    <col min="29" max="29" width="12.7109375" style="44" customWidth="1"/>
    <col min="30" max="30" width="1.7109375" style="6" customWidth="1"/>
    <col min="31" max="31" width="11.7109375" style="6" customWidth="1"/>
    <col min="32" max="16384" width="9.140625" style="6"/>
  </cols>
  <sheetData>
    <row r="1" spans="1:30" ht="19.5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10"/>
    </row>
    <row r="2" spans="1:30" s="34" customFormat="1" ht="22.5" customHeight="1">
      <c r="A2" s="65" t="s">
        <v>55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</row>
    <row r="3" spans="1:30" s="5" customFormat="1" ht="12.75" customHeight="1">
      <c r="A3" s="67" t="s">
        <v>3</v>
      </c>
      <c r="C3" s="31"/>
      <c r="E3" s="75" t="s">
        <v>28</v>
      </c>
      <c r="F3" s="75"/>
      <c r="G3" s="75"/>
      <c r="H3" s="75"/>
      <c r="I3" s="75"/>
      <c r="J3" s="75"/>
      <c r="K3" s="75"/>
      <c r="L3" s="54"/>
      <c r="M3" s="89" t="s">
        <v>29</v>
      </c>
      <c r="N3" s="75"/>
      <c r="O3" s="75"/>
      <c r="P3" s="75"/>
      <c r="Q3" s="75"/>
      <c r="R3" s="75"/>
      <c r="S3" s="75"/>
      <c r="T3" s="75"/>
      <c r="U3" s="75"/>
      <c r="V3" s="90"/>
      <c r="W3" s="77" t="s">
        <v>30</v>
      </c>
      <c r="X3" s="77"/>
      <c r="Y3" s="77"/>
      <c r="Z3" s="78" t="s">
        <v>31</v>
      </c>
      <c r="AA3" s="77"/>
      <c r="AB3" s="77"/>
      <c r="AC3" s="70" t="s">
        <v>32</v>
      </c>
    </row>
    <row r="4" spans="1:30" s="5" customFormat="1" ht="18.75" customHeight="1">
      <c r="A4" s="68"/>
      <c r="B4" s="11"/>
      <c r="C4" s="11"/>
      <c r="D4" s="11"/>
      <c r="E4" s="76"/>
      <c r="F4" s="76"/>
      <c r="G4" s="76"/>
      <c r="H4" s="76"/>
      <c r="I4" s="76"/>
      <c r="J4" s="76"/>
      <c r="K4" s="76"/>
      <c r="L4" s="55"/>
      <c r="M4" s="84"/>
      <c r="N4" s="76"/>
      <c r="O4" s="76"/>
      <c r="P4" s="76"/>
      <c r="Q4" s="76"/>
      <c r="R4" s="76"/>
      <c r="S4" s="76"/>
      <c r="T4" s="76"/>
      <c r="U4" s="76"/>
      <c r="V4" s="91"/>
      <c r="W4" s="79" t="s">
        <v>33</v>
      </c>
      <c r="X4" s="79"/>
      <c r="Y4" s="79"/>
      <c r="Z4" s="80" t="s">
        <v>34</v>
      </c>
      <c r="AA4" s="81"/>
      <c r="AB4" s="81"/>
      <c r="AC4" s="71"/>
    </row>
    <row r="5" spans="1:30" s="5" customFormat="1" ht="18.75" customHeight="1">
      <c r="A5" s="68"/>
      <c r="C5" s="32"/>
      <c r="E5" s="73" t="s">
        <v>35</v>
      </c>
      <c r="F5" s="73"/>
      <c r="G5" s="73"/>
      <c r="H5" s="73"/>
      <c r="I5" s="73"/>
      <c r="J5" s="61"/>
      <c r="K5" s="61"/>
      <c r="L5" s="57"/>
      <c r="M5" s="85" t="s">
        <v>36</v>
      </c>
      <c r="N5" s="73"/>
      <c r="O5" s="73"/>
      <c r="P5" s="73"/>
      <c r="Q5" s="73"/>
      <c r="R5" s="73"/>
      <c r="S5" s="73"/>
      <c r="T5" s="73"/>
      <c r="U5" s="73"/>
      <c r="V5" s="86"/>
      <c r="W5" s="46" t="s">
        <v>28</v>
      </c>
      <c r="X5" s="46"/>
      <c r="Y5" s="47" t="s">
        <v>29</v>
      </c>
      <c r="Z5" s="12" t="s">
        <v>28</v>
      </c>
      <c r="AA5" s="13"/>
      <c r="AB5" s="13" t="s">
        <v>29</v>
      </c>
      <c r="AC5" s="71"/>
    </row>
    <row r="6" spans="1:30" s="5" customFormat="1" ht="37.5">
      <c r="A6" s="68"/>
      <c r="B6" s="33"/>
      <c r="C6" s="33"/>
      <c r="D6" s="33"/>
      <c r="E6" s="74"/>
      <c r="F6" s="74"/>
      <c r="G6" s="74"/>
      <c r="H6" s="74"/>
      <c r="I6" s="74"/>
      <c r="J6" s="60"/>
      <c r="K6" s="60"/>
      <c r="L6" s="56"/>
      <c r="M6" s="87"/>
      <c r="N6" s="74"/>
      <c r="O6" s="74"/>
      <c r="P6" s="74"/>
      <c r="Q6" s="74"/>
      <c r="R6" s="74"/>
      <c r="S6" s="74"/>
      <c r="T6" s="74"/>
      <c r="U6" s="74"/>
      <c r="V6" s="88"/>
      <c r="W6" s="59" t="s">
        <v>35</v>
      </c>
      <c r="X6" s="14"/>
      <c r="Y6" s="15" t="s">
        <v>36</v>
      </c>
      <c r="Z6" s="16" t="s">
        <v>35</v>
      </c>
      <c r="AA6" s="17"/>
      <c r="AB6" s="17" t="s">
        <v>36</v>
      </c>
      <c r="AC6" s="71"/>
    </row>
    <row r="7" spans="1:30" s="20" customFormat="1" ht="12.75">
      <c r="A7" s="69"/>
      <c r="B7" s="19">
        <v>2014</v>
      </c>
      <c r="C7" s="19">
        <v>2015</v>
      </c>
      <c r="D7" s="19">
        <v>2016</v>
      </c>
      <c r="E7" s="9">
        <v>2017</v>
      </c>
      <c r="F7" s="9">
        <v>2018</v>
      </c>
      <c r="G7" s="9">
        <v>2019</v>
      </c>
      <c r="H7" s="9">
        <v>2020</v>
      </c>
      <c r="I7" s="9">
        <v>2021</v>
      </c>
      <c r="J7" s="9">
        <v>2022</v>
      </c>
      <c r="K7" s="9">
        <v>2023</v>
      </c>
      <c r="L7" s="58"/>
      <c r="M7" s="18">
        <v>2014</v>
      </c>
      <c r="N7" s="19">
        <v>2015</v>
      </c>
      <c r="O7" s="18">
        <v>2016</v>
      </c>
      <c r="P7" s="35">
        <v>2017</v>
      </c>
      <c r="Q7" s="19">
        <v>2018</v>
      </c>
      <c r="R7" s="19">
        <v>2019</v>
      </c>
      <c r="S7" s="19">
        <v>2020</v>
      </c>
      <c r="T7" s="19">
        <v>2021</v>
      </c>
      <c r="U7" s="19">
        <v>2022</v>
      </c>
      <c r="V7" s="62">
        <v>2023</v>
      </c>
      <c r="W7" s="82" t="s">
        <v>57</v>
      </c>
      <c r="X7" s="82"/>
      <c r="Y7" s="83"/>
      <c r="Z7" s="84">
        <v>2023</v>
      </c>
      <c r="AA7" s="76"/>
      <c r="AB7" s="76"/>
      <c r="AC7" s="72"/>
    </row>
    <row r="8" spans="1:30" s="5" customFormat="1" ht="19.5" customHeight="1">
      <c r="A8" s="21" t="s">
        <v>0</v>
      </c>
      <c r="B8" s="2">
        <f t="shared" ref="B8:G8" si="0">SUM(B9:B20)</f>
        <v>7505622.2623784998</v>
      </c>
      <c r="C8" s="2">
        <f t="shared" si="0"/>
        <v>7322683.0686780298</v>
      </c>
      <c r="D8" s="2">
        <f t="shared" si="0"/>
        <v>7770922.642037821</v>
      </c>
      <c r="E8" s="2">
        <f t="shared" si="0"/>
        <v>8593283.6177621465</v>
      </c>
      <c r="F8" s="2">
        <f t="shared" si="0"/>
        <v>9478093.9017162751</v>
      </c>
      <c r="G8" s="2">
        <f t="shared" si="0"/>
        <v>10688387.114665871</v>
      </c>
      <c r="H8" s="2">
        <f>SUM(H9:H20)</f>
        <v>3984712.4466208597</v>
      </c>
      <c r="I8" s="2">
        <f>SUM(I9:I20)</f>
        <v>10073404.431001486</v>
      </c>
      <c r="J8" s="2">
        <f>SUM(J9:J20)</f>
        <v>12260108.330737725</v>
      </c>
      <c r="K8" s="2">
        <f>SUM(K9:K20)</f>
        <v>12906378.346717887</v>
      </c>
      <c r="L8" s="23"/>
      <c r="M8" s="22">
        <f t="shared" ref="M8:R8" si="1">SUM(M9:M20)</f>
        <v>1204857</v>
      </c>
      <c r="N8" s="2">
        <f t="shared" si="1"/>
        <v>1234248</v>
      </c>
      <c r="O8" s="22">
        <f t="shared" si="1"/>
        <v>1286135</v>
      </c>
      <c r="P8" s="36">
        <f t="shared" si="1"/>
        <v>1389542</v>
      </c>
      <c r="Q8" s="2">
        <f t="shared" si="1"/>
        <v>1484274</v>
      </c>
      <c r="R8" s="2">
        <f t="shared" si="1"/>
        <v>1702887</v>
      </c>
      <c r="S8" s="2">
        <f>SUM(S9:S20)</f>
        <v>555494</v>
      </c>
      <c r="T8" s="2">
        <f>SUM(T9:T20)</f>
        <v>1321937</v>
      </c>
      <c r="U8" s="2">
        <f>SUM(U9:U20)</f>
        <v>1675303</v>
      </c>
      <c r="V8" s="23">
        <f>SUM(V9:V20)</f>
        <v>1878543</v>
      </c>
      <c r="W8" s="92">
        <f>((K8/J8)-1)*100</f>
        <v>5.271323862284949</v>
      </c>
      <c r="X8" s="93"/>
      <c r="Y8" s="94">
        <f>((V8/U8)-1)*100</f>
        <v>12.13153680259631</v>
      </c>
      <c r="Z8" s="95" t="s">
        <v>37</v>
      </c>
      <c r="AA8" s="96"/>
      <c r="AB8" s="97" t="s">
        <v>37</v>
      </c>
      <c r="AC8" s="39" t="s">
        <v>2</v>
      </c>
    </row>
    <row r="9" spans="1:30" s="5" customFormat="1" ht="19.5" customHeight="1">
      <c r="A9" s="24" t="s">
        <v>4</v>
      </c>
      <c r="B9" s="3">
        <v>702057.23965050967</v>
      </c>
      <c r="C9" s="7">
        <v>663541.53766544769</v>
      </c>
      <c r="D9" s="3">
        <v>658991.02257734654</v>
      </c>
      <c r="E9" s="3">
        <v>800126.35612185334</v>
      </c>
      <c r="F9" s="3">
        <v>941496.93723687832</v>
      </c>
      <c r="G9" s="3">
        <v>998457.1569061433</v>
      </c>
      <c r="H9" s="3">
        <v>1142718.3892667082</v>
      </c>
      <c r="I9" s="3">
        <v>835150.4711577181</v>
      </c>
      <c r="J9" s="3">
        <v>1150713.3636085521</v>
      </c>
      <c r="K9" s="3">
        <v>1340468.7854954551</v>
      </c>
      <c r="L9" s="52"/>
      <c r="M9" s="25">
        <v>105296</v>
      </c>
      <c r="N9" s="3">
        <v>97073</v>
      </c>
      <c r="O9" s="25">
        <v>108396</v>
      </c>
      <c r="P9" s="37">
        <v>125336</v>
      </c>
      <c r="Q9" s="3">
        <v>142351</v>
      </c>
      <c r="R9" s="3">
        <v>151552</v>
      </c>
      <c r="S9" s="3">
        <v>173347</v>
      </c>
      <c r="T9" s="3">
        <v>92103</v>
      </c>
      <c r="U9" s="3">
        <v>131765</v>
      </c>
      <c r="V9" s="52">
        <v>172499</v>
      </c>
      <c r="W9" s="98">
        <f t="shared" ref="W9:W20" si="2">((K9/J9)-1)*100</f>
        <v>16.490242304290614</v>
      </c>
      <c r="X9" s="51"/>
      <c r="Y9" s="99">
        <f t="shared" ref="Y9:Y20" si="3">((V9/U9)-1)*100</f>
        <v>30.914127423822713</v>
      </c>
      <c r="Z9" s="100">
        <f>((K9/J20)-1)*100</f>
        <v>16.511324130633277</v>
      </c>
      <c r="AA9" s="101"/>
      <c r="AB9" s="100">
        <f>((V9/U20)-1)*100</f>
        <v>-6.2765211816290023</v>
      </c>
      <c r="AC9" s="40" t="s">
        <v>38</v>
      </c>
    </row>
    <row r="10" spans="1:30" s="5" customFormat="1" ht="19.5" customHeight="1">
      <c r="A10" s="24" t="s">
        <v>5</v>
      </c>
      <c r="B10" s="3">
        <v>701834.83220814099</v>
      </c>
      <c r="C10" s="7">
        <v>713662.18298669241</v>
      </c>
      <c r="D10" s="3">
        <v>749459.82384348847</v>
      </c>
      <c r="E10" s="3">
        <v>772412.98962665652</v>
      </c>
      <c r="F10" s="3">
        <v>925585.20039239002</v>
      </c>
      <c r="G10" s="3">
        <v>1019637.270040759</v>
      </c>
      <c r="H10" s="3">
        <v>1020309.6683010989</v>
      </c>
      <c r="I10" s="3">
        <v>762505.95470010396</v>
      </c>
      <c r="J10" s="3">
        <v>1100758.9602994234</v>
      </c>
      <c r="K10" s="3">
        <v>1282815.6760906836</v>
      </c>
      <c r="L10" s="52"/>
      <c r="M10" s="25">
        <v>110705</v>
      </c>
      <c r="N10" s="3">
        <v>120468</v>
      </c>
      <c r="O10" s="25">
        <v>120639</v>
      </c>
      <c r="P10" s="37">
        <v>121052</v>
      </c>
      <c r="Q10" s="3">
        <v>144286</v>
      </c>
      <c r="R10" s="3">
        <v>168583</v>
      </c>
      <c r="S10" s="3">
        <v>149785</v>
      </c>
      <c r="T10" s="3">
        <v>96882</v>
      </c>
      <c r="U10" s="3">
        <v>149011</v>
      </c>
      <c r="V10" s="52">
        <v>177915</v>
      </c>
      <c r="W10" s="98">
        <f t="shared" si="2"/>
        <v>16.539199076039136</v>
      </c>
      <c r="X10" s="51"/>
      <c r="Y10" s="99">
        <f t="shared" si="3"/>
        <v>19.397225708169195</v>
      </c>
      <c r="Z10" s="100">
        <f>((K10/K9)-1)*100</f>
        <v>-4.3009662014220069</v>
      </c>
      <c r="AA10" s="101"/>
      <c r="AB10" s="100">
        <f>((V10/V9)-1)*100</f>
        <v>3.1397283462512915</v>
      </c>
      <c r="AC10" s="40" t="s">
        <v>39</v>
      </c>
    </row>
    <row r="11" spans="1:30" s="5" customFormat="1" ht="19.5" customHeight="1">
      <c r="A11" s="24" t="s">
        <v>6</v>
      </c>
      <c r="B11" s="3">
        <v>706437.32186961442</v>
      </c>
      <c r="C11" s="7">
        <v>692862.60109209386</v>
      </c>
      <c r="D11" s="3">
        <v>746568.50029467535</v>
      </c>
      <c r="E11" s="3">
        <v>750431.75735626707</v>
      </c>
      <c r="F11" s="3">
        <v>873729.2709199331</v>
      </c>
      <c r="G11" s="3">
        <v>1006770.3040856412</v>
      </c>
      <c r="H11" s="3">
        <v>562302.20507965644</v>
      </c>
      <c r="I11" s="3">
        <v>870255.05357418919</v>
      </c>
      <c r="J11" s="3">
        <v>1137971.7070753367</v>
      </c>
      <c r="K11" s="3">
        <v>1244688.7864587356</v>
      </c>
      <c r="L11" s="52"/>
      <c r="M11" s="25">
        <v>105560</v>
      </c>
      <c r="N11" s="3">
        <v>112427</v>
      </c>
      <c r="O11" s="25">
        <v>115131</v>
      </c>
      <c r="P11" s="37">
        <v>112665</v>
      </c>
      <c r="Q11" s="3">
        <v>133466</v>
      </c>
      <c r="R11" s="3">
        <v>162843</v>
      </c>
      <c r="S11" s="3">
        <v>59630</v>
      </c>
      <c r="T11" s="3">
        <v>109585</v>
      </c>
      <c r="U11" s="3">
        <v>150748</v>
      </c>
      <c r="V11" s="52">
        <v>173514</v>
      </c>
      <c r="W11" s="98">
        <f t="shared" si="2"/>
        <v>9.3778323942401709</v>
      </c>
      <c r="X11" s="51"/>
      <c r="Y11" s="99">
        <f t="shared" si="3"/>
        <v>15.102024570806915</v>
      </c>
      <c r="Z11" s="100">
        <f t="shared" ref="Z11:Z20" si="4">((K11/K10)-1)*100</f>
        <v>-2.972125328881059</v>
      </c>
      <c r="AA11" s="101"/>
      <c r="AB11" s="100">
        <f t="shared" ref="AB11:AB20" si="5">((V11/V10)-1)*100</f>
        <v>-2.4736531489756297</v>
      </c>
      <c r="AC11" s="40" t="s">
        <v>40</v>
      </c>
    </row>
    <row r="12" spans="1:30" s="5" customFormat="1" ht="19.5" customHeight="1">
      <c r="A12" s="24" t="s">
        <v>7</v>
      </c>
      <c r="B12" s="3">
        <v>673309.98970234313</v>
      </c>
      <c r="C12" s="7">
        <v>640521.60154796869</v>
      </c>
      <c r="D12" s="3">
        <v>655921.90097689989</v>
      </c>
      <c r="E12" s="3">
        <v>742497.61743564717</v>
      </c>
      <c r="F12" s="3">
        <v>796839.94498607225</v>
      </c>
      <c r="G12" s="3">
        <v>981769.33451783704</v>
      </c>
      <c r="H12" s="3">
        <v>8844.0202622169236</v>
      </c>
      <c r="I12" s="3">
        <v>745954.3638272509</v>
      </c>
      <c r="J12" s="3">
        <v>1074531.6077666467</v>
      </c>
      <c r="K12" s="3">
        <v>1165424.0233137847</v>
      </c>
      <c r="L12" s="52"/>
      <c r="M12" s="25">
        <v>105309</v>
      </c>
      <c r="N12" s="3">
        <v>102242</v>
      </c>
      <c r="O12" s="25">
        <v>103493</v>
      </c>
      <c r="P12" s="37">
        <v>119774</v>
      </c>
      <c r="Q12" s="3">
        <v>119713</v>
      </c>
      <c r="R12" s="3">
        <v>163114</v>
      </c>
      <c r="S12" s="3">
        <v>13</v>
      </c>
      <c r="T12" s="3">
        <v>91200</v>
      </c>
      <c r="U12" s="3">
        <v>145282</v>
      </c>
      <c r="V12" s="52">
        <v>164357</v>
      </c>
      <c r="W12" s="98">
        <f t="shared" si="2"/>
        <v>8.4587940354823754</v>
      </c>
      <c r="X12" s="51"/>
      <c r="Y12" s="99">
        <f t="shared" si="3"/>
        <v>13.129637532522963</v>
      </c>
      <c r="Z12" s="100">
        <f t="shared" si="4"/>
        <v>-6.3682395155552962</v>
      </c>
      <c r="AA12" s="101"/>
      <c r="AB12" s="100">
        <f>((V12/V11)-1)*100</f>
        <v>-5.2773839574904668</v>
      </c>
      <c r="AC12" s="40" t="s">
        <v>41</v>
      </c>
    </row>
    <row r="13" spans="1:30" s="5" customFormat="1" ht="19.5" customHeight="1">
      <c r="A13" s="24" t="s">
        <v>8</v>
      </c>
      <c r="B13" s="3">
        <v>577519.5276717894</v>
      </c>
      <c r="C13" s="7">
        <v>575317.18052742502</v>
      </c>
      <c r="D13" s="3">
        <v>573465.31358633551</v>
      </c>
      <c r="E13" s="3">
        <v>601496.36821079231</v>
      </c>
      <c r="F13" s="3">
        <v>641543.88590708072</v>
      </c>
      <c r="G13" s="3">
        <v>717991.87940748374</v>
      </c>
      <c r="H13" s="3">
        <v>4776.6211552888226</v>
      </c>
      <c r="I13" s="3">
        <v>600186.25359946059</v>
      </c>
      <c r="J13" s="3">
        <v>860190.70555042452</v>
      </c>
      <c r="K13" s="3">
        <v>825161.40556539781</v>
      </c>
      <c r="L13" s="3"/>
      <c r="M13" s="25">
        <v>91296</v>
      </c>
      <c r="N13" s="3">
        <v>95389</v>
      </c>
      <c r="O13" s="25">
        <v>93228</v>
      </c>
      <c r="P13" s="37">
        <v>93491</v>
      </c>
      <c r="Q13" s="3">
        <v>92913</v>
      </c>
      <c r="R13" s="3">
        <v>103022</v>
      </c>
      <c r="S13" s="3">
        <v>41</v>
      </c>
      <c r="T13" s="3">
        <v>64613</v>
      </c>
      <c r="U13" s="3">
        <v>125528</v>
      </c>
      <c r="V13" s="52">
        <v>120959</v>
      </c>
      <c r="W13" s="98">
        <f t="shared" si="2"/>
        <v>-4.0722713880768975</v>
      </c>
      <c r="X13" s="51"/>
      <c r="Y13" s="99">
        <f t="shared" si="3"/>
        <v>-3.6398253776049994</v>
      </c>
      <c r="Z13" s="100">
        <f t="shared" si="4"/>
        <v>-29.196465058346654</v>
      </c>
      <c r="AA13" s="101"/>
      <c r="AB13" s="100">
        <f t="shared" si="5"/>
        <v>-26.404716562117827</v>
      </c>
      <c r="AC13" s="40" t="s">
        <v>42</v>
      </c>
    </row>
    <row r="14" spans="1:30" s="5" customFormat="1" ht="19.5" customHeight="1">
      <c r="A14" s="24" t="s">
        <v>9</v>
      </c>
      <c r="B14" s="3">
        <v>472676.95853012655</v>
      </c>
      <c r="C14" s="7">
        <v>447882.4886566248</v>
      </c>
      <c r="D14" s="3">
        <v>443937.13137700246</v>
      </c>
      <c r="E14" s="3">
        <v>480889.64024626091</v>
      </c>
      <c r="F14" s="3">
        <v>544549.70829420025</v>
      </c>
      <c r="G14" s="3">
        <v>714606.98023648141</v>
      </c>
      <c r="H14" s="3">
        <v>2325.8011569052783</v>
      </c>
      <c r="I14" s="3">
        <v>466724.87904852029</v>
      </c>
      <c r="J14" s="3">
        <v>780785.81253420108</v>
      </c>
      <c r="K14" s="3">
        <v>796244.65711217758</v>
      </c>
      <c r="L14" s="3"/>
      <c r="M14" s="25">
        <v>83347</v>
      </c>
      <c r="N14" s="3">
        <v>81506</v>
      </c>
      <c r="O14" s="25">
        <v>79034</v>
      </c>
      <c r="P14" s="37">
        <v>85222</v>
      </c>
      <c r="Q14" s="3">
        <v>93786</v>
      </c>
      <c r="R14" s="3">
        <v>113475</v>
      </c>
      <c r="S14" s="3">
        <v>1</v>
      </c>
      <c r="T14" s="3">
        <v>56166</v>
      </c>
      <c r="U14" s="3">
        <v>110885</v>
      </c>
      <c r="V14" s="52">
        <v>120363</v>
      </c>
      <c r="W14" s="98">
        <f t="shared" si="2"/>
        <v>1.9799084883217466</v>
      </c>
      <c r="X14" s="51"/>
      <c r="Y14" s="99">
        <f t="shared" si="3"/>
        <v>8.547594354511423</v>
      </c>
      <c r="Z14" s="100">
        <f t="shared" si="4"/>
        <v>-3.5043748117868589</v>
      </c>
      <c r="AA14" s="101"/>
      <c r="AB14" s="100">
        <f t="shared" si="5"/>
        <v>-0.49272894121148436</v>
      </c>
      <c r="AC14" s="40" t="s">
        <v>43</v>
      </c>
    </row>
    <row r="15" spans="1:30" s="5" customFormat="1" ht="19.5" customHeight="1">
      <c r="A15" s="24" t="s">
        <v>10</v>
      </c>
      <c r="B15" s="3">
        <v>576664.64986032562</v>
      </c>
      <c r="C15" s="7">
        <v>570407.39669035666</v>
      </c>
      <c r="D15" s="3">
        <v>629327.19249594188</v>
      </c>
      <c r="E15" s="3">
        <v>688020.73461813317</v>
      </c>
      <c r="F15" s="3">
        <v>743513.8192884227</v>
      </c>
      <c r="G15" s="3">
        <v>776707.97190193064</v>
      </c>
      <c r="H15" s="3">
        <v>24673.424657534248</v>
      </c>
      <c r="I15" s="3">
        <v>768789.25980959879</v>
      </c>
      <c r="J15" s="3">
        <v>993898.20842588414</v>
      </c>
      <c r="K15" s="3">
        <v>909846.38488471729</v>
      </c>
      <c r="L15" s="3"/>
      <c r="M15" s="25">
        <v>100191</v>
      </c>
      <c r="N15" s="3">
        <v>104517</v>
      </c>
      <c r="O15" s="25">
        <v>110432</v>
      </c>
      <c r="P15" s="37">
        <v>113175</v>
      </c>
      <c r="Q15" s="3">
        <v>122332</v>
      </c>
      <c r="R15" s="3">
        <v>132144</v>
      </c>
      <c r="S15" s="3">
        <v>1752</v>
      </c>
      <c r="T15" s="3">
        <v>101818</v>
      </c>
      <c r="U15" s="3">
        <v>133561</v>
      </c>
      <c r="V15" s="52">
        <v>145620</v>
      </c>
      <c r="W15" s="98">
        <f t="shared" si="2"/>
        <v>-8.4567838867811602</v>
      </c>
      <c r="X15" s="51"/>
      <c r="Y15" s="99">
        <f t="shared" si="3"/>
        <v>9.0288332671962568</v>
      </c>
      <c r="Z15" s="100">
        <f t="shared" si="4"/>
        <v>14.267188703601574</v>
      </c>
      <c r="AA15" s="101"/>
      <c r="AB15" s="100">
        <f t="shared" si="5"/>
        <v>20.984023329428481</v>
      </c>
      <c r="AC15" s="40" t="s">
        <v>44</v>
      </c>
    </row>
    <row r="16" spans="1:30" s="5" customFormat="1" ht="19.5" customHeight="1">
      <c r="A16" s="24" t="s">
        <v>11</v>
      </c>
      <c r="B16" s="3">
        <v>644401.86744888476</v>
      </c>
      <c r="C16" s="7">
        <v>634864.87032498559</v>
      </c>
      <c r="D16" s="3">
        <v>679120.24186927639</v>
      </c>
      <c r="E16" s="3">
        <v>746618.12340413022</v>
      </c>
      <c r="F16" s="3">
        <v>822923.1134527917</v>
      </c>
      <c r="G16" s="3">
        <v>910642.62291399995</v>
      </c>
      <c r="H16" s="3">
        <v>71370.69478742512</v>
      </c>
      <c r="I16" s="3">
        <v>1013739.7157784224</v>
      </c>
      <c r="J16" s="3">
        <v>1061929.1703655317</v>
      </c>
      <c r="K16" s="3">
        <v>1108996.2484387148</v>
      </c>
      <c r="L16" s="3"/>
      <c r="M16" s="25">
        <v>104186</v>
      </c>
      <c r="N16" s="3">
        <v>110144</v>
      </c>
      <c r="O16" s="25">
        <v>112282</v>
      </c>
      <c r="P16" s="37">
        <v>121310</v>
      </c>
      <c r="Q16" s="3">
        <v>123992</v>
      </c>
      <c r="R16" s="3">
        <v>139338</v>
      </c>
      <c r="S16" s="3">
        <v>7636</v>
      </c>
      <c r="T16" s="3">
        <v>143599</v>
      </c>
      <c r="U16" s="3">
        <v>131863</v>
      </c>
      <c r="V16" s="52">
        <v>154854</v>
      </c>
      <c r="W16" s="98">
        <f t="shared" si="2"/>
        <v>4.4322238607478859</v>
      </c>
      <c r="X16" s="51"/>
      <c r="Y16" s="99">
        <f t="shared" si="3"/>
        <v>17.435520198994414</v>
      </c>
      <c r="Z16" s="100">
        <f t="shared" si="4"/>
        <v>21.888295305941231</v>
      </c>
      <c r="AA16" s="101"/>
      <c r="AB16" s="100">
        <f t="shared" si="5"/>
        <v>6.3411619283065601</v>
      </c>
      <c r="AC16" s="40" t="s">
        <v>45</v>
      </c>
    </row>
    <row r="17" spans="1:29" s="5" customFormat="1" ht="19.5" customHeight="1">
      <c r="A17" s="24" t="s">
        <v>12</v>
      </c>
      <c r="B17" s="3">
        <v>550854.33086917293</v>
      </c>
      <c r="C17" s="7">
        <v>545085.53667477472</v>
      </c>
      <c r="D17" s="3">
        <v>589810.66820347263</v>
      </c>
      <c r="E17" s="3">
        <v>604175.35293706728</v>
      </c>
      <c r="F17" s="3">
        <v>648410.82226000517</v>
      </c>
      <c r="G17" s="3">
        <v>708842.01912898617</v>
      </c>
      <c r="H17" s="3">
        <v>75367.862102161744</v>
      </c>
      <c r="I17" s="3">
        <v>740309.24717153108</v>
      </c>
      <c r="J17" s="3">
        <v>807036.36245775828</v>
      </c>
      <c r="K17" s="3">
        <v>852131.42220048269</v>
      </c>
      <c r="L17" s="3"/>
      <c r="M17" s="25">
        <v>95114</v>
      </c>
      <c r="N17" s="3">
        <v>95511</v>
      </c>
      <c r="O17" s="25">
        <v>101909</v>
      </c>
      <c r="P17" s="37">
        <v>105984</v>
      </c>
      <c r="Q17" s="3">
        <v>107620</v>
      </c>
      <c r="R17" s="3">
        <v>117619</v>
      </c>
      <c r="S17" s="3">
        <v>9605</v>
      </c>
      <c r="T17" s="3">
        <v>114896</v>
      </c>
      <c r="U17" s="3">
        <v>111986</v>
      </c>
      <c r="V17" s="52">
        <v>130967</v>
      </c>
      <c r="W17" s="98">
        <f t="shared" si="2"/>
        <v>5.5877357998332711</v>
      </c>
      <c r="X17" s="51"/>
      <c r="Y17" s="99">
        <f t="shared" si="3"/>
        <v>16.949440108585012</v>
      </c>
      <c r="Z17" s="100">
        <f t="shared" si="4"/>
        <v>-23.161920213874097</v>
      </c>
      <c r="AA17" s="101"/>
      <c r="AB17" s="100">
        <f t="shared" si="5"/>
        <v>-15.425497565448742</v>
      </c>
      <c r="AC17" s="40" t="s">
        <v>46</v>
      </c>
    </row>
    <row r="18" spans="1:29" s="5" customFormat="1" ht="19.5" customHeight="1">
      <c r="A18" s="24" t="s">
        <v>13</v>
      </c>
      <c r="B18" s="3">
        <v>684193.71933576756</v>
      </c>
      <c r="C18" s="7">
        <v>638669.93168310425</v>
      </c>
      <c r="D18" s="3">
        <v>706407.53106039867</v>
      </c>
      <c r="E18" s="3">
        <v>793474.41907263896</v>
      </c>
      <c r="F18" s="3">
        <v>820686.79357652483</v>
      </c>
      <c r="G18" s="3">
        <v>916411.3348664348</v>
      </c>
      <c r="H18" s="3">
        <v>169709.08076305894</v>
      </c>
      <c r="I18" s="3">
        <v>1021099.3617678499</v>
      </c>
      <c r="J18" s="3">
        <v>1078513.3785202014</v>
      </c>
      <c r="K18" s="3">
        <v>1090723.7213819372</v>
      </c>
      <c r="L18" s="3"/>
      <c r="M18" s="25">
        <v>110331</v>
      </c>
      <c r="N18" s="3">
        <v>105498</v>
      </c>
      <c r="O18" s="25">
        <v>117489</v>
      </c>
      <c r="P18" s="37">
        <v>127986</v>
      </c>
      <c r="Q18" s="3">
        <v>127393</v>
      </c>
      <c r="R18" s="3">
        <v>141928</v>
      </c>
      <c r="S18" s="3">
        <v>21515</v>
      </c>
      <c r="T18" s="3">
        <v>142066</v>
      </c>
      <c r="U18" s="3">
        <v>153737</v>
      </c>
      <c r="V18" s="52">
        <v>159141</v>
      </c>
      <c r="W18" s="98">
        <f t="shared" si="2"/>
        <v>1.1321457021227888</v>
      </c>
      <c r="X18" s="51"/>
      <c r="Y18" s="99">
        <f t="shared" si="3"/>
        <v>3.5150939591640284</v>
      </c>
      <c r="Z18" s="100">
        <f t="shared" si="4"/>
        <v>27.99947202572708</v>
      </c>
      <c r="AA18" s="101"/>
      <c r="AB18" s="100">
        <f t="shared" si="5"/>
        <v>21.512289355333781</v>
      </c>
      <c r="AC18" s="40" t="s">
        <v>47</v>
      </c>
    </row>
    <row r="19" spans="1:29" s="5" customFormat="1" ht="19.5" customHeight="1">
      <c r="A19" s="24" t="s">
        <v>14</v>
      </c>
      <c r="B19" s="3">
        <v>572968.68602542835</v>
      </c>
      <c r="C19" s="7">
        <v>566992.26515688817</v>
      </c>
      <c r="D19" s="3">
        <v>651958.88226781064</v>
      </c>
      <c r="E19" s="3">
        <v>750052.33152232482</v>
      </c>
      <c r="F19" s="3">
        <v>809163.62732057029</v>
      </c>
      <c r="G19" s="3">
        <v>887046.05096720241</v>
      </c>
      <c r="H19" s="3">
        <v>279030.28204043105</v>
      </c>
      <c r="I19" s="3">
        <v>1076875.0927833859</v>
      </c>
      <c r="J19" s="3">
        <v>1063273.9032417238</v>
      </c>
      <c r="K19" s="3">
        <v>1149201.6374202347</v>
      </c>
      <c r="L19" s="3"/>
      <c r="M19" s="25">
        <v>89778</v>
      </c>
      <c r="N19" s="3">
        <v>90218</v>
      </c>
      <c r="O19" s="25">
        <v>104572</v>
      </c>
      <c r="P19" s="37">
        <v>120506</v>
      </c>
      <c r="Q19" s="3">
        <v>125604</v>
      </c>
      <c r="R19" s="3">
        <v>137921</v>
      </c>
      <c r="S19" s="3">
        <v>35757</v>
      </c>
      <c r="T19" s="3">
        <v>144725</v>
      </c>
      <c r="U19" s="3">
        <v>146886</v>
      </c>
      <c r="V19" s="52">
        <v>163658</v>
      </c>
      <c r="W19" s="98">
        <f t="shared" si="2"/>
        <v>8.0814298099984647</v>
      </c>
      <c r="X19" s="51"/>
      <c r="Y19" s="99">
        <f t="shared" si="3"/>
        <v>11.418378878858437</v>
      </c>
      <c r="Z19" s="100">
        <f t="shared" si="4"/>
        <v>5.3613866547439271</v>
      </c>
      <c r="AA19" s="101"/>
      <c r="AB19" s="100">
        <f t="shared" si="5"/>
        <v>2.8383634638465161</v>
      </c>
      <c r="AC19" s="40" t="s">
        <v>48</v>
      </c>
    </row>
    <row r="20" spans="1:29" s="5" customFormat="1" ht="19.5" customHeight="1">
      <c r="A20" s="26" t="s">
        <v>15</v>
      </c>
      <c r="B20" s="4">
        <v>642703.13920639607</v>
      </c>
      <c r="C20" s="27">
        <v>632875.47567166749</v>
      </c>
      <c r="D20" s="4">
        <v>685954.43348517246</v>
      </c>
      <c r="E20" s="4">
        <v>863087.92721037427</v>
      </c>
      <c r="F20" s="4">
        <v>909650.77808140765</v>
      </c>
      <c r="G20" s="4">
        <v>1049504.1896929736</v>
      </c>
      <c r="H20" s="4">
        <v>623284.39704837371</v>
      </c>
      <c r="I20" s="4">
        <v>1171814.7777834546</v>
      </c>
      <c r="J20" s="4">
        <v>1150505.1508920391</v>
      </c>
      <c r="K20" s="4">
        <v>1140675.598355568</v>
      </c>
      <c r="L20" s="4"/>
      <c r="M20" s="28">
        <v>103744</v>
      </c>
      <c r="N20" s="4">
        <v>119255</v>
      </c>
      <c r="O20" s="28">
        <v>119530</v>
      </c>
      <c r="P20" s="38">
        <v>143041</v>
      </c>
      <c r="Q20" s="4">
        <v>150818</v>
      </c>
      <c r="R20" s="4">
        <v>171348</v>
      </c>
      <c r="S20" s="4">
        <v>96412</v>
      </c>
      <c r="T20" s="4">
        <v>164284</v>
      </c>
      <c r="U20" s="4">
        <v>184051</v>
      </c>
      <c r="V20" s="63">
        <v>194696</v>
      </c>
      <c r="W20" s="102">
        <f t="shared" si="2"/>
        <v>-0.85436840755122034</v>
      </c>
      <c r="X20" s="50"/>
      <c r="Y20" s="103">
        <f t="shared" si="3"/>
        <v>5.783722989823481</v>
      </c>
      <c r="Z20" s="104">
        <f t="shared" si="4"/>
        <v>-0.74190975604648823</v>
      </c>
      <c r="AA20" s="105"/>
      <c r="AB20" s="104">
        <f t="shared" si="5"/>
        <v>18.965159051192117</v>
      </c>
      <c r="AC20" s="41" t="s">
        <v>49</v>
      </c>
    </row>
    <row r="21" spans="1:29" s="5" customFormat="1" ht="17.25">
      <c r="A21" s="1" t="s">
        <v>51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45" t="s">
        <v>50</v>
      </c>
    </row>
    <row r="22" spans="1:29" s="5" customFormat="1" ht="15.75" customHeight="1">
      <c r="A22" s="1" t="s">
        <v>1</v>
      </c>
      <c r="AC22" s="42" t="s">
        <v>16</v>
      </c>
    </row>
    <row r="23" spans="1:29" s="5" customFormat="1" ht="15.75" customHeight="1">
      <c r="A23" s="48" t="s">
        <v>52</v>
      </c>
      <c r="AC23" s="42"/>
    </row>
    <row r="24" spans="1:29" s="5" customFormat="1" ht="15.75" customHeight="1">
      <c r="A24" s="49" t="s">
        <v>53</v>
      </c>
      <c r="AC24" s="42"/>
    </row>
    <row r="25" spans="1:29" s="5" customFormat="1" ht="15.75" customHeight="1">
      <c r="A25" s="53" t="s">
        <v>54</v>
      </c>
      <c r="AC25" s="42"/>
    </row>
    <row r="26" spans="1:29" s="5" customFormat="1" ht="15.75" customHeight="1">
      <c r="A26" s="1"/>
      <c r="AC26" s="42"/>
    </row>
    <row r="27" spans="1:29" s="5" customFormat="1" ht="14.25"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42"/>
    </row>
    <row r="28" spans="1:29" s="5" customFormat="1" ht="14.25">
      <c r="A28" s="1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43"/>
    </row>
    <row r="29" spans="1:29" s="5" customFormat="1" ht="14.25" customHeight="1">
      <c r="A29" s="30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42"/>
    </row>
    <row r="31" spans="1:29" ht="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43"/>
    </row>
    <row r="46" spans="46:57"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50" spans="47:47">
      <c r="AU50" s="8" t="s">
        <v>17</v>
      </c>
    </row>
    <row r="51" spans="47:47">
      <c r="AU51" s="8" t="s">
        <v>18</v>
      </c>
    </row>
    <row r="52" spans="47:47">
      <c r="AU52" s="8" t="s">
        <v>19</v>
      </c>
    </row>
    <row r="53" spans="47:47">
      <c r="AU53" s="8" t="s">
        <v>20</v>
      </c>
    </row>
    <row r="54" spans="47:47">
      <c r="AU54" s="8" t="s">
        <v>8</v>
      </c>
    </row>
    <row r="55" spans="47:47">
      <c r="AU55" s="8" t="s">
        <v>21</v>
      </c>
    </row>
    <row r="56" spans="47:47">
      <c r="AU56" s="8" t="s">
        <v>22</v>
      </c>
    </row>
    <row r="57" spans="47:47">
      <c r="AU57" s="8" t="s">
        <v>23</v>
      </c>
    </row>
    <row r="58" spans="47:47">
      <c r="AU58" s="8" t="s">
        <v>24</v>
      </c>
    </row>
    <row r="59" spans="47:47">
      <c r="AU59" s="8" t="s">
        <v>25</v>
      </c>
    </row>
    <row r="60" spans="47:47">
      <c r="AU60" s="8" t="s">
        <v>26</v>
      </c>
    </row>
    <row r="61" spans="47:47">
      <c r="AU61" s="8" t="s">
        <v>27</v>
      </c>
    </row>
  </sheetData>
  <mergeCells count="14">
    <mergeCell ref="A1:AC1"/>
    <mergeCell ref="A2:AC2"/>
    <mergeCell ref="A3:A7"/>
    <mergeCell ref="AC3:AC7"/>
    <mergeCell ref="E5:I6"/>
    <mergeCell ref="W3:Y3"/>
    <mergeCell ref="Z3:AB3"/>
    <mergeCell ref="W4:Y4"/>
    <mergeCell ref="Z4:AB4"/>
    <mergeCell ref="W7:Y7"/>
    <mergeCell ref="Z7:AB7"/>
    <mergeCell ref="M5:V6"/>
    <mergeCell ref="M3:V4"/>
    <mergeCell ref="E3:K4"/>
  </mergeCells>
  <pageMargins left="0.7" right="0.7" top="0.75" bottom="0.75" header="0.3" footer="0.3"/>
  <pageSetup paperSize="9" scale="54" orientation="landscape" horizontalDpi="4294967295" verticalDpi="4294967295" r:id="rId1"/>
  <rowBreaks count="1" manualBreakCount="1">
    <brk id="48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2024-07-09T03:33:42Z</cp:lastPrinted>
  <dcterms:created xsi:type="dcterms:W3CDTF">2019-02-27T06:18:18Z</dcterms:created>
  <dcterms:modified xsi:type="dcterms:W3CDTF">2024-07-09T03:33:59Z</dcterms:modified>
</cp:coreProperties>
</file>