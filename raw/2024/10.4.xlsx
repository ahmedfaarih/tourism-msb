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7FA8FF9A-7DE0-4834-96D3-CEA0B7BE9D00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4" sheetId="4" r:id="rId1"/>
  </sheets>
  <externalReferences>
    <externalReference r:id="rId2"/>
  </externalReferences>
  <definedNames>
    <definedName name="_xlnm.Print_Area" localSheetId="0">'10.4'!$A$1:$L$45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6" i="4" l="1"/>
  <c r="AI36" i="4"/>
  <c r="AH37" i="4"/>
  <c r="AI37" i="4"/>
  <c r="AH38" i="4"/>
  <c r="AI38" i="4"/>
  <c r="AH39" i="4"/>
  <c r="AI39" i="4"/>
  <c r="AH40" i="4"/>
  <c r="AI40" i="4"/>
  <c r="AH41" i="4"/>
  <c r="AI41" i="4"/>
  <c r="AH42" i="4"/>
  <c r="AI42" i="4"/>
  <c r="AH43" i="4"/>
  <c r="AI43" i="4"/>
  <c r="AH44" i="4"/>
  <c r="AI44" i="4"/>
  <c r="AH45" i="4"/>
  <c r="AI45" i="4"/>
  <c r="AH46" i="4"/>
  <c r="AI46" i="4"/>
  <c r="AI35" i="4"/>
  <c r="AH35" i="4"/>
  <c r="I19" i="4" l="1"/>
  <c r="I18" i="4"/>
  <c r="I17" i="4"/>
  <c r="I16" i="4"/>
  <c r="I15" i="4"/>
  <c r="I14" i="4"/>
  <c r="I13" i="4"/>
  <c r="I12" i="4"/>
  <c r="I11" i="4"/>
  <c r="I10" i="4"/>
  <c r="I9" i="4"/>
  <c r="I8" i="4"/>
  <c r="K7" i="4"/>
  <c r="J7" i="4"/>
  <c r="H7" i="4"/>
  <c r="G7" i="4"/>
  <c r="I7" i="4" l="1"/>
  <c r="D19" i="4" l="1"/>
  <c r="D18" i="4"/>
  <c r="D17" i="4"/>
  <c r="D16" i="4"/>
  <c r="D15" i="4"/>
  <c r="D14" i="4"/>
  <c r="D13" i="4"/>
  <c r="D12" i="4"/>
  <c r="D11" i="4"/>
  <c r="D10" i="4"/>
  <c r="D9" i="4"/>
  <c r="D8" i="4"/>
  <c r="F7" i="4"/>
  <c r="E7" i="4"/>
  <c r="C7" i="4"/>
  <c r="B7" i="4"/>
  <c r="D7" i="4" l="1"/>
</calcChain>
</file>

<file path=xl/sharedStrings.xml><?xml version="1.0" encoding="utf-8"?>
<sst xmlns="http://schemas.openxmlformats.org/spreadsheetml/2006/main" count="54" uniqueCount="42">
  <si>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</si>
  <si>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</si>
  <si>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</si>
  <si>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</si>
  <si>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</si>
  <si>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</si>
  <si>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</si>
  <si>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</si>
  <si>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</si>
  <si>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</si>
  <si>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</si>
  <si>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</si>
  <si>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</si>
  <si>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</si>
  <si>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</si>
  <si>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</si>
  <si>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</si>
  <si>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</si>
  <si>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</si>
  <si>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</si>
  <si>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</si>
  <si>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</si>
  <si>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</si>
  <si>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</si>
  <si>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</si>
  <si>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</si>
  <si>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</si>
  <si>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</si>
  <si>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</si>
  <si>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</si>
  <si>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</si>
  <si>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</si>
  <si>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</si>
  <si>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</si>
  <si>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</si>
  <si>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</si>
  <si>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</si>
  <si>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</si>
  <si>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</si>
  <si>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</si>
  <si>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10.4: BED CAPACITY AND UTILIZATION OF RESORTS BY MONTH,  2022 - 2023</t>
  </si>
  <si>
    <t>2022 - 2022  ,urwvcnim unuverukcnunEb wgWjegudnea iaWa wgWj egudnea egukwtuTOsir uhwmcswmikea : 10.4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</si>
</sst>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#,##0.0"/>
    <numFmt numFmtId="171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7" fillId="0" borderId="12" applyNumberFormat="0"/>
    <xf numFmtId="0" fontId="1" fillId="0" borderId="0"/>
    <xf numFmtId="0" fontId="3" fillId="0" borderId="0"/>
    <xf numFmtId="0" fontId="20" fillId="0" borderId="0" applyFill="0" applyProtection="0"/>
    <xf numFmtId="1" fontId="1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3" fillId="0" borderId="0"/>
    <xf numFmtId="0" fontId="20" fillId="0" borderId="0" applyFill="0" applyProtection="0"/>
    <xf numFmtId="1" fontId="17" fillId="0" borderId="12" applyNumberFormat="0"/>
    <xf numFmtId="0" fontId="1" fillId="0" borderId="0"/>
    <xf numFmtId="0" fontId="2" fillId="0" borderId="0"/>
    <xf numFmtId="0" fontId="21" fillId="0" borderId="0"/>
    <xf numFmtId="0" fontId="22" fillId="0" borderId="0"/>
    <xf numFmtId="0" fontId="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3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 applyBorder="0"/>
    <xf numFmtId="0" fontId="1" fillId="0" borderId="0"/>
    <xf numFmtId="0" fontId="1" fillId="0" borderId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0" fontId="1" fillId="0" borderId="0"/>
    <xf numFmtId="0" fontId="1" fillId="0" borderId="0"/>
    <xf numFmtId="0" fontId="23" fillId="0" borderId="0" applyBorder="0"/>
    <xf numFmtId="0" fontId="23" fillId="0" borderId="0"/>
    <xf numFmtId="0" fontId="1" fillId="0" borderId="0"/>
    <xf numFmtId="0" fontId="3" fillId="0" borderId="0"/>
    <xf numFmtId="0" fontId="3" fillId="0" borderId="0"/>
    <xf numFmtId="1" fontId="17" fillId="0" borderId="12" applyNumberFormat="0"/>
  </cellStyleXfs>
  <cellXfs count="40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166" fontId="6" fillId="2" borderId="0" xfId="1" applyNumberFormat="1" applyFont="1" applyFill="1" applyAlignment="1">
      <alignment horizontal="right" vertical="center"/>
    </xf>
    <xf numFmtId="166" fontId="7" fillId="2" borderId="0" xfId="1" applyNumberFormat="1" applyFont="1" applyFill="1" applyBorder="1" applyAlignment="1">
      <alignment horizontal="right" vertical="center"/>
    </xf>
    <xf numFmtId="166" fontId="7" fillId="2" borderId="1" xfId="1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</cellXfs>
  <cellStyles count="76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resorts , 2023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9376625060904604"/>
          <c:y val="4.7686959484046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646198871158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'10.4'!$AH$34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'10.4'!$AG$35:$AG$46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'10.4'!$AH$35:$AH$46</c:f>
              <c:numCache>
                <c:formatCode>#,##0</c:formatCode>
                <c:ptCount val="12"/>
                <c:pt idx="0">
                  <c:v>42011</c:v>
                </c:pt>
                <c:pt idx="1">
                  <c:v>42011</c:v>
                </c:pt>
                <c:pt idx="2">
                  <c:v>42203</c:v>
                </c:pt>
                <c:pt idx="3">
                  <c:v>42215</c:v>
                </c:pt>
                <c:pt idx="4">
                  <c:v>41995</c:v>
                </c:pt>
                <c:pt idx="5">
                  <c:v>41995</c:v>
                </c:pt>
                <c:pt idx="6">
                  <c:v>42521</c:v>
                </c:pt>
                <c:pt idx="7">
                  <c:v>43027</c:v>
                </c:pt>
                <c:pt idx="8">
                  <c:v>43035</c:v>
                </c:pt>
                <c:pt idx="9">
                  <c:v>43575</c:v>
                </c:pt>
                <c:pt idx="10">
                  <c:v>44071</c:v>
                </c:pt>
                <c:pt idx="11">
                  <c:v>44125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A-4B78-BFEE-5F455A783DF5}"/>
            </c:ext>
          </c:extLst>
        </c:ser>
        <c:ser>
          <c:idx val="1"/>
          <c:order val="1"/>
          <c:tx>
            <c:strRef>
              <c:f>'10.4'!$AI$34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BDFFFF"/>
            </a:solidFill>
            <a:ln>
              <a:noFill/>
            </a:ln>
            <a:effectLst/>
          </c:spPr>
          <c:invertIfNegative val="0"/>
          <c:cat>
            <c:strRef>
              <c:f>'10.4'!$AG$35:$AG$46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'10.4'!$AI$35:$AI$46</c:f>
              <c:numCache>
                <c:formatCode>#,##0</c:formatCode>
                <c:ptCount val="12"/>
                <c:pt idx="0">
                  <c:v>41049</c:v>
                </c:pt>
                <c:pt idx="1">
                  <c:v>41049</c:v>
                </c:pt>
                <c:pt idx="2">
                  <c:v>41241</c:v>
                </c:pt>
                <c:pt idx="3">
                  <c:v>41241</c:v>
                </c:pt>
                <c:pt idx="4">
                  <c:v>41263</c:v>
                </c:pt>
                <c:pt idx="5">
                  <c:v>41409</c:v>
                </c:pt>
                <c:pt idx="6">
                  <c:v>41913</c:v>
                </c:pt>
                <c:pt idx="7">
                  <c:v>42151</c:v>
                </c:pt>
                <c:pt idx="8">
                  <c:v>42699</c:v>
                </c:pt>
                <c:pt idx="9">
                  <c:v>42817</c:v>
                </c:pt>
                <c:pt idx="10">
                  <c:v>43225</c:v>
                </c:pt>
                <c:pt idx="11">
                  <c:v>43279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A-4B78-BFEE-5F455A78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0018640"/>
        <c:axId val="400020992"/>
      </c:barChart>
      <c:catAx>
        <c:axId val="4000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0992"/>
        <c:crosses val="autoZero"/>
        <c:auto val="1"/>
        <c:lblAlgn val="ctr"/>
        <c:lblOffset val="100"/>
        <c:noMultiLvlLbl val="0"/>
      </c:catAx>
      <c:valAx>
        <c:axId val="400020992"/>
        <c:scaling>
          <c:orientation val="minMax"/>
          <c:max val="45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86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119767171960651"/>
          <c:y val="0.90526962890700591"/>
          <c:w val="0.40792415233810059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57150</xdr:rowOff>
    </xdr:from>
    <xdr:to>
      <xdr:col>8</xdr:col>
      <xdr:colOff>962025</xdr:colOff>
      <xdr:row>43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6"/>
  <sheetViews>
    <sheetView tabSelected="1" zoomScale="96" zoomScaleNormal="96" workbookViewId="0">
      <selection activeCell="P14" sqref="P14"/>
    </sheetView>
  </sheetViews>
  <sheetFormatPr defaultColWidth="9.140625" defaultRowHeight="12"/>
  <cols>
    <col min="1" max="1" width="13.7109375" style="3" customWidth="1"/>
    <col min="2" max="6" width="14.85546875" style="3" customWidth="1"/>
    <col min="7" max="11" width="16" style="3" customWidth="1"/>
    <col min="12" max="16384" width="9.140625" style="3"/>
  </cols>
  <sheetData>
    <row r="1" spans="1:11" ht="14.25">
      <c r="A1" s="39" t="s">
        <v>41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2.75">
      <c r="A2" s="38" t="s">
        <v>40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ht="12.75">
      <c r="A3" s="28"/>
      <c r="B3" s="21"/>
    </row>
    <row r="4" spans="1:11" s="4" customFormat="1" ht="12.75">
      <c r="A4" s="33" t="s">
        <v>3</v>
      </c>
      <c r="B4" s="36">
        <v>2022</v>
      </c>
      <c r="C4" s="37"/>
      <c r="D4" s="37"/>
      <c r="E4" s="37"/>
      <c r="F4" s="37"/>
      <c r="G4" s="36">
        <v>2023</v>
      </c>
      <c r="H4" s="37"/>
      <c r="I4" s="37"/>
      <c r="J4" s="37"/>
      <c r="K4" s="37"/>
    </row>
    <row r="5" spans="1:11" s="4" customFormat="1" ht="63.75" customHeight="1">
      <c r="A5" s="34"/>
      <c r="B5" s="5" t="s">
        <v>4</v>
      </c>
      <c r="C5" s="6" t="s">
        <v>5</v>
      </c>
      <c r="D5" s="6" t="s">
        <v>2</v>
      </c>
      <c r="E5" s="6" t="s">
        <v>6</v>
      </c>
      <c r="F5" s="6" t="s">
        <v>7</v>
      </c>
      <c r="G5" s="5" t="s">
        <v>4</v>
      </c>
      <c r="H5" s="6" t="s">
        <v>5</v>
      </c>
      <c r="I5" s="6" t="s">
        <v>2</v>
      </c>
      <c r="J5" s="6" t="s">
        <v>6</v>
      </c>
      <c r="K5" s="6" t="s">
        <v>7</v>
      </c>
    </row>
    <row r="6" spans="1:11" s="4" customFormat="1" ht="36" customHeight="1">
      <c r="A6" s="35"/>
      <c r="B6" s="30" t="s">
        <v>12</v>
      </c>
      <c r="C6" s="29" t="s">
        <v>8</v>
      </c>
      <c r="D6" s="29" t="s">
        <v>9</v>
      </c>
      <c r="E6" s="29" t="s">
        <v>10</v>
      </c>
      <c r="F6" s="23" t="s">
        <v>11</v>
      </c>
      <c r="G6" s="30" t="s">
        <v>12</v>
      </c>
      <c r="H6" s="29" t="s">
        <v>8</v>
      </c>
      <c r="I6" s="29" t="s">
        <v>9</v>
      </c>
      <c r="J6" s="29" t="s">
        <v>10</v>
      </c>
      <c r="K6" s="23" t="s">
        <v>11</v>
      </c>
    </row>
    <row r="7" spans="1:11" s="4" customFormat="1" ht="18.75" customHeight="1">
      <c r="A7" s="7" t="s">
        <v>13</v>
      </c>
      <c r="B7" s="8">
        <f>AVERAGE(B8:B19)</f>
        <v>40837</v>
      </c>
      <c r="C7" s="9">
        <f>AVERAGE(C8:C19)</f>
        <v>39796.5</v>
      </c>
      <c r="D7" s="10">
        <f>AVERAGE(D8:D19)</f>
        <v>97.449657218515654</v>
      </c>
      <c r="E7" s="10">
        <f>AVERAGE(E8:E19)</f>
        <v>71.366666666666674</v>
      </c>
      <c r="F7" s="24">
        <f>SUM(F8:F19)</f>
        <v>10350101</v>
      </c>
      <c r="G7" s="8">
        <f>AVERAGE(G8:G19)</f>
        <v>42732</v>
      </c>
      <c r="H7" s="9">
        <f>AVERAGE(H8:H19)</f>
        <v>41944.666666666664</v>
      </c>
      <c r="I7" s="10">
        <f>AVERAGE(I8:I19)</f>
        <v>98.156005872888613</v>
      </c>
      <c r="J7" s="10">
        <f>AVERAGE(J8:J19)</f>
        <v>66.316666666666663</v>
      </c>
      <c r="K7" s="24">
        <f>SUM(K8:K19)</f>
        <v>10124539.323674459</v>
      </c>
    </row>
    <row r="8" spans="1:11" s="4" customFormat="1" ht="18.75" customHeight="1">
      <c r="A8" s="11" t="s">
        <v>14</v>
      </c>
      <c r="B8" s="12">
        <v>39833</v>
      </c>
      <c r="C8" s="2">
        <v>38822</v>
      </c>
      <c r="D8" s="13">
        <f t="shared" ref="D8:D19" si="0">C8/B8*100</f>
        <v>97.461903446890773</v>
      </c>
      <c r="E8" s="13">
        <v>80.400000000000006</v>
      </c>
      <c r="F8" s="25">
        <v>967697</v>
      </c>
      <c r="G8" s="12">
        <v>42011</v>
      </c>
      <c r="H8" s="2">
        <v>41049</v>
      </c>
      <c r="I8" s="13">
        <f t="shared" ref="I8:I19" si="1">H8/G8*100</f>
        <v>97.710123539073095</v>
      </c>
      <c r="J8" s="13">
        <v>83.6</v>
      </c>
      <c r="K8" s="25">
        <v>1063864.6573749466</v>
      </c>
    </row>
    <row r="9" spans="1:11" s="4" customFormat="1" ht="18.75" customHeight="1">
      <c r="A9" s="11" t="s">
        <v>15</v>
      </c>
      <c r="B9" s="12">
        <v>39897</v>
      </c>
      <c r="C9" s="2">
        <v>38822</v>
      </c>
      <c r="D9" s="13">
        <f t="shared" si="0"/>
        <v>97.305561821690858</v>
      </c>
      <c r="E9" s="13">
        <v>86.2</v>
      </c>
      <c r="F9" s="25">
        <v>937012</v>
      </c>
      <c r="G9" s="12">
        <v>42011</v>
      </c>
      <c r="H9" s="2">
        <v>41049</v>
      </c>
      <c r="I9" s="13">
        <f t="shared" si="1"/>
        <v>97.710123539073095</v>
      </c>
      <c r="J9" s="13">
        <v>88</v>
      </c>
      <c r="K9" s="25">
        <v>1011591.8384634326</v>
      </c>
    </row>
    <row r="10" spans="1:11" s="4" customFormat="1" ht="18.75" customHeight="1">
      <c r="A10" s="11" t="s">
        <v>16</v>
      </c>
      <c r="B10" s="12">
        <v>40075</v>
      </c>
      <c r="C10" s="2">
        <v>39064</v>
      </c>
      <c r="D10" s="13">
        <f t="shared" si="0"/>
        <v>97.477230193387399</v>
      </c>
      <c r="E10" s="13">
        <v>79.7</v>
      </c>
      <c r="F10" s="25">
        <v>964759</v>
      </c>
      <c r="G10" s="12">
        <v>42203</v>
      </c>
      <c r="H10" s="2">
        <v>41241</v>
      </c>
      <c r="I10" s="13">
        <f t="shared" si="1"/>
        <v>97.720541193754002</v>
      </c>
      <c r="J10" s="13">
        <v>75.8</v>
      </c>
      <c r="K10" s="25">
        <v>969444.11793260195</v>
      </c>
    </row>
    <row r="11" spans="1:11" s="4" customFormat="1" ht="18.75" customHeight="1">
      <c r="A11" s="11" t="s">
        <v>17</v>
      </c>
      <c r="B11" s="12">
        <v>40247</v>
      </c>
      <c r="C11" s="2">
        <v>39196</v>
      </c>
      <c r="D11" s="13">
        <f t="shared" si="0"/>
        <v>97.388625239148269</v>
      </c>
      <c r="E11" s="13">
        <v>80.2</v>
      </c>
      <c r="F11" s="25">
        <v>942747</v>
      </c>
      <c r="G11" s="12">
        <v>42215</v>
      </c>
      <c r="H11" s="2">
        <v>41241</v>
      </c>
      <c r="I11" s="13">
        <f t="shared" si="1"/>
        <v>97.692763235816642</v>
      </c>
      <c r="J11" s="13">
        <v>75.900000000000006</v>
      </c>
      <c r="K11" s="25">
        <v>939426.50641336956</v>
      </c>
    </row>
    <row r="12" spans="1:11" s="4" customFormat="1" ht="18.75" customHeight="1">
      <c r="A12" s="11" t="s">
        <v>18</v>
      </c>
      <c r="B12" s="12">
        <v>40585</v>
      </c>
      <c r="C12" s="2">
        <v>39463</v>
      </c>
      <c r="D12" s="13">
        <f t="shared" si="0"/>
        <v>97.235431809781943</v>
      </c>
      <c r="E12" s="13">
        <v>61.4</v>
      </c>
      <c r="F12" s="25">
        <v>750812</v>
      </c>
      <c r="G12" s="12">
        <v>41995</v>
      </c>
      <c r="H12" s="2">
        <v>41263</v>
      </c>
      <c r="I12" s="13">
        <f t="shared" si="1"/>
        <v>98.256935349446366</v>
      </c>
      <c r="J12" s="13">
        <v>51.1</v>
      </c>
      <c r="K12" s="25">
        <v>653582.27633880242</v>
      </c>
    </row>
    <row r="13" spans="1:11" s="4" customFormat="1" ht="18.75" customHeight="1">
      <c r="A13" s="11" t="s">
        <v>19</v>
      </c>
      <c r="B13" s="12">
        <v>40643</v>
      </c>
      <c r="C13" s="2">
        <v>39481</v>
      </c>
      <c r="D13" s="13">
        <f t="shared" si="0"/>
        <v>97.140959082744871</v>
      </c>
      <c r="E13" s="13">
        <v>57</v>
      </c>
      <c r="F13" s="25">
        <v>674802</v>
      </c>
      <c r="G13" s="12">
        <v>41995</v>
      </c>
      <c r="H13" s="2">
        <v>41409</v>
      </c>
      <c r="I13" s="13">
        <f t="shared" si="1"/>
        <v>98.604595785212524</v>
      </c>
      <c r="J13" s="13">
        <v>51.3</v>
      </c>
      <c r="K13" s="25">
        <v>637424.45173989248</v>
      </c>
    </row>
    <row r="14" spans="1:11" s="4" customFormat="1" ht="18.75" customHeight="1">
      <c r="A14" s="11" t="s">
        <v>20</v>
      </c>
      <c r="B14" s="12">
        <v>41175</v>
      </c>
      <c r="C14" s="2">
        <v>40053</v>
      </c>
      <c r="D14" s="13">
        <f t="shared" si="0"/>
        <v>97.275045537340617</v>
      </c>
      <c r="E14" s="13">
        <v>67.7</v>
      </c>
      <c r="F14" s="25">
        <v>840923</v>
      </c>
      <c r="G14" s="12">
        <v>42521</v>
      </c>
      <c r="H14" s="2">
        <v>41913</v>
      </c>
      <c r="I14" s="13">
        <f t="shared" si="1"/>
        <v>98.570118294489788</v>
      </c>
      <c r="J14" s="13">
        <v>53.9</v>
      </c>
      <c r="K14" s="25">
        <v>700636.85366912722</v>
      </c>
    </row>
    <row r="15" spans="1:11" s="4" customFormat="1" ht="18.75" customHeight="1">
      <c r="A15" s="11" t="s">
        <v>21</v>
      </c>
      <c r="B15" s="12">
        <v>41175</v>
      </c>
      <c r="C15" s="2">
        <v>40053</v>
      </c>
      <c r="D15" s="13">
        <f t="shared" si="0"/>
        <v>97.275045537340617</v>
      </c>
      <c r="E15" s="13">
        <v>72.099999999999994</v>
      </c>
      <c r="F15" s="25">
        <v>895289</v>
      </c>
      <c r="G15" s="12">
        <v>43027</v>
      </c>
      <c r="H15" s="2">
        <v>42151</v>
      </c>
      <c r="I15" s="13">
        <f t="shared" si="1"/>
        <v>97.964069072907705</v>
      </c>
      <c r="J15" s="13">
        <v>67.3</v>
      </c>
      <c r="K15" s="25">
        <v>879950.54669718991</v>
      </c>
    </row>
    <row r="16" spans="1:11" s="4" customFormat="1" ht="18.75" customHeight="1">
      <c r="A16" s="11" t="s">
        <v>22</v>
      </c>
      <c r="B16" s="12">
        <v>41175</v>
      </c>
      <c r="C16" s="2">
        <v>40053</v>
      </c>
      <c r="D16" s="13">
        <f t="shared" si="0"/>
        <v>97.275045537340617</v>
      </c>
      <c r="E16" s="13">
        <v>56.2</v>
      </c>
      <c r="F16" s="25">
        <v>675150</v>
      </c>
      <c r="G16" s="12">
        <v>43035</v>
      </c>
      <c r="H16" s="2">
        <v>42699</v>
      </c>
      <c r="I16" s="13">
        <f t="shared" si="1"/>
        <v>99.219240153363543</v>
      </c>
      <c r="J16" s="13">
        <v>50.9</v>
      </c>
      <c r="K16" s="25">
        <v>651428.45718110283</v>
      </c>
    </row>
    <row r="17" spans="1:11" s="4" customFormat="1" ht="18.75" customHeight="1">
      <c r="A17" s="11" t="s">
        <v>23</v>
      </c>
      <c r="B17" s="12">
        <v>41647</v>
      </c>
      <c r="C17" s="2">
        <v>40751</v>
      </c>
      <c r="D17" s="13">
        <f t="shared" si="0"/>
        <v>97.84858453189905</v>
      </c>
      <c r="E17" s="13">
        <v>72.2</v>
      </c>
      <c r="F17" s="25">
        <v>911955</v>
      </c>
      <c r="G17" s="12">
        <v>43575</v>
      </c>
      <c r="H17" s="2">
        <v>42817</v>
      </c>
      <c r="I17" s="13">
        <f t="shared" si="1"/>
        <v>98.260470453241538</v>
      </c>
      <c r="J17" s="13">
        <v>65.5</v>
      </c>
      <c r="K17" s="25">
        <v>869731.82689986075</v>
      </c>
    </row>
    <row r="18" spans="1:11" s="4" customFormat="1" ht="18.75" customHeight="1">
      <c r="A18" s="11" t="s">
        <v>24</v>
      </c>
      <c r="B18" s="12">
        <v>41647</v>
      </c>
      <c r="C18" s="2">
        <v>40751</v>
      </c>
      <c r="D18" s="13">
        <f t="shared" si="0"/>
        <v>97.84858453189905</v>
      </c>
      <c r="E18" s="13">
        <v>69.8</v>
      </c>
      <c r="F18" s="25">
        <v>853492</v>
      </c>
      <c r="G18" s="12">
        <v>44071</v>
      </c>
      <c r="H18" s="2">
        <v>43225</v>
      </c>
      <c r="I18" s="13">
        <f t="shared" si="1"/>
        <v>98.080370311542737</v>
      </c>
      <c r="J18" s="13">
        <v>68.7</v>
      </c>
      <c r="K18" s="25">
        <v>891342.70455620368</v>
      </c>
    </row>
    <row r="19" spans="1:11" s="4" customFormat="1" ht="18.75" customHeight="1">
      <c r="A19" s="14" t="s">
        <v>25</v>
      </c>
      <c r="B19" s="15">
        <v>41945</v>
      </c>
      <c r="C19" s="16">
        <v>41049</v>
      </c>
      <c r="D19" s="17">
        <f t="shared" si="0"/>
        <v>97.86386935272381</v>
      </c>
      <c r="E19" s="17">
        <v>73.5</v>
      </c>
      <c r="F19" s="26">
        <v>935463</v>
      </c>
      <c r="G19" s="15">
        <v>44125</v>
      </c>
      <c r="H19" s="16">
        <v>43279</v>
      </c>
      <c r="I19" s="17">
        <f t="shared" si="1"/>
        <v>98.082719546742211</v>
      </c>
      <c r="J19" s="17">
        <v>63.8</v>
      </c>
      <c r="K19" s="26">
        <v>856115.08640792733</v>
      </c>
    </row>
    <row r="20" spans="1:11" ht="15" customHeight="1">
      <c r="A20" s="1" t="s">
        <v>0</v>
      </c>
      <c r="B20" s="20"/>
      <c r="C20" s="22"/>
      <c r="D20" s="22"/>
      <c r="E20" s="22"/>
      <c r="F20" s="27"/>
      <c r="G20" s="20"/>
      <c r="H20" s="22"/>
      <c r="I20" s="22"/>
      <c r="J20" s="22"/>
      <c r="K20" s="27" t="s">
        <v>1</v>
      </c>
    </row>
    <row r="21" spans="1:11">
      <c r="A21" s="31" t="s">
        <v>38</v>
      </c>
      <c r="B21" s="22"/>
    </row>
    <row r="22" spans="1:11">
      <c r="A22" s="32" t="s">
        <v>39</v>
      </c>
      <c r="B22" s="22"/>
    </row>
    <row r="23" spans="1:11">
      <c r="A23" s="19"/>
      <c r="B23" s="22"/>
    </row>
    <row r="24" spans="1:11">
      <c r="A24" s="19"/>
      <c r="B24" s="22"/>
    </row>
    <row r="25" spans="1:11">
      <c r="A25" s="19"/>
      <c r="B25" s="22"/>
    </row>
    <row r="26" spans="1:11" ht="12.75">
      <c r="A26" s="19"/>
      <c r="B26" s="13"/>
    </row>
    <row r="27" spans="1:11" ht="12.75">
      <c r="A27" s="19"/>
      <c r="B27" s="13"/>
    </row>
    <row r="28" spans="1:11" ht="12.75">
      <c r="A28" s="19"/>
      <c r="B28" s="13"/>
    </row>
    <row r="29" spans="1:11" ht="12.75">
      <c r="A29" s="19"/>
      <c r="B29" s="13"/>
    </row>
    <row r="30" spans="1:11" ht="12.75">
      <c r="A30" s="19"/>
      <c r="B30" s="13"/>
    </row>
    <row r="31" spans="1:11" ht="12.75">
      <c r="A31" s="19"/>
      <c r="B31" s="13"/>
    </row>
    <row r="32" spans="1:11" ht="12.75">
      <c r="A32" s="19"/>
      <c r="B32" s="13"/>
    </row>
    <row r="33" spans="1:36" ht="12.75">
      <c r="A33" s="19"/>
      <c r="B33" s="13"/>
      <c r="AG33" s="4"/>
      <c r="AH33" s="4"/>
      <c r="AI33" s="4"/>
      <c r="AJ33" s="4"/>
    </row>
    <row r="34" spans="1:36" ht="36">
      <c r="A34" s="19"/>
      <c r="B34" s="13"/>
      <c r="AH34" s="18" t="s">
        <v>12</v>
      </c>
      <c r="AI34" s="18" t="s">
        <v>26</v>
      </c>
    </row>
    <row r="35" spans="1:36" ht="12.75">
      <c r="B35" s="13"/>
      <c r="AG35" s="19" t="s">
        <v>27</v>
      </c>
      <c r="AH35" s="12">
        <f>G8</f>
        <v>42011</v>
      </c>
      <c r="AI35" s="12">
        <f>H8</f>
        <v>41049</v>
      </c>
    </row>
    <row r="36" spans="1:36" ht="12.75">
      <c r="B36" s="13"/>
      <c r="AG36" s="19" t="s">
        <v>28</v>
      </c>
      <c r="AH36" s="12">
        <f>G9</f>
        <v>42011</v>
      </c>
      <c r="AI36" s="12">
        <f>H9</f>
        <v>41049</v>
      </c>
    </row>
    <row r="37" spans="1:36" ht="12.75">
      <c r="B37" s="13"/>
      <c r="AG37" s="19" t="s">
        <v>29</v>
      </c>
      <c r="AH37" s="12">
        <f>G10</f>
        <v>42203</v>
      </c>
      <c r="AI37" s="12">
        <f>H10</f>
        <v>41241</v>
      </c>
    </row>
    <row r="38" spans="1:36" ht="12.75">
      <c r="AG38" s="19" t="s">
        <v>30</v>
      </c>
      <c r="AH38" s="12">
        <f>G11</f>
        <v>42215</v>
      </c>
      <c r="AI38" s="12">
        <f>H11</f>
        <v>41241</v>
      </c>
    </row>
    <row r="39" spans="1:36" ht="12.75">
      <c r="AG39" s="19" t="s">
        <v>18</v>
      </c>
      <c r="AH39" s="12">
        <f>G12</f>
        <v>41995</v>
      </c>
      <c r="AI39" s="12">
        <f>H12</f>
        <v>41263</v>
      </c>
    </row>
    <row r="40" spans="1:36" ht="12.75">
      <c r="AG40" s="19" t="s">
        <v>31</v>
      </c>
      <c r="AH40" s="12">
        <f>G13</f>
        <v>41995</v>
      </c>
      <c r="AI40" s="12">
        <f>H13</f>
        <v>41409</v>
      </c>
    </row>
    <row r="41" spans="1:36" ht="12.75">
      <c r="AG41" s="19" t="s">
        <v>32</v>
      </c>
      <c r="AH41" s="12">
        <f>G14</f>
        <v>42521</v>
      </c>
      <c r="AI41" s="12">
        <f>H14</f>
        <v>41913</v>
      </c>
    </row>
    <row r="42" spans="1:36" ht="12.75">
      <c r="AG42" s="19" t="s">
        <v>33</v>
      </c>
      <c r="AH42" s="12">
        <f>G15</f>
        <v>43027</v>
      </c>
      <c r="AI42" s="12">
        <f>H15</f>
        <v>42151</v>
      </c>
    </row>
    <row r="43" spans="1:36" ht="12.75">
      <c r="AG43" s="19" t="s">
        <v>34</v>
      </c>
      <c r="AH43" s="12">
        <f>G16</f>
        <v>43035</v>
      </c>
      <c r="AI43" s="12">
        <f>H16</f>
        <v>42699</v>
      </c>
    </row>
    <row r="44" spans="1:36" ht="12.75">
      <c r="AG44" s="19" t="s">
        <v>35</v>
      </c>
      <c r="AH44" s="12">
        <f>G17</f>
        <v>43575</v>
      </c>
      <c r="AI44" s="12">
        <f>H17</f>
        <v>42817</v>
      </c>
    </row>
    <row r="45" spans="1:36" ht="12.75">
      <c r="AG45" s="19" t="s">
        <v>36</v>
      </c>
      <c r="AH45" s="12">
        <f>G18</f>
        <v>44071</v>
      </c>
      <c r="AI45" s="12">
        <f>H18</f>
        <v>43225</v>
      </c>
    </row>
    <row r="46" spans="1:36" ht="12.75">
      <c r="AG46" s="19" t="s">
        <v>37</v>
      </c>
      <c r="AH46" s="12">
        <f>G19</f>
        <v>44125</v>
      </c>
      <c r="AI46" s="12">
        <f>H19</f>
        <v>43279</v>
      </c>
    </row>
  </sheetData>
  <mergeCells count="5">
    <mergeCell ref="G4:K4"/>
    <mergeCell ref="A2:K2"/>
    <mergeCell ref="A1:K1"/>
    <mergeCell ref="B4:F4"/>
    <mergeCell ref="A4:A6"/>
  </mergeCells>
  <pageMargins left="0.7" right="0.7" top="0.75" bottom="0.75" header="0.3" footer="0.3"/>
  <pageSetup paperSize="9" scale="67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10.4</vt:lpstr>
      <vt:lpstr>'10.4'!Print_Area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2024-07-09T03:22:35Z</cp:lastPrinted>
  <dcterms:created xsi:type="dcterms:W3CDTF">2019-02-27T06:18:18Z</dcterms:created>
  <dcterms:modified xsi:type="dcterms:W3CDTF">2024-07-09T03:22:41Z</dcterms:modified>
</cp:coreProperties>
</file>