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F4D3F8A3-4C21-4A25-8C9D-11A0D188FAFE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6" sheetId="6" r:id="rId1"/>
  </sheets>
  <externalReferences>
    <externalReference r:id="rId2"/>
  </externalReferences>
  <definedNames>
    <definedName name="_xlnm.Print_Area" localSheetId="0">'10.6'!$A$1:$L$46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6" i="6" l="1"/>
  <c r="AS36" i="6"/>
  <c r="AR37" i="6"/>
  <c r="AS37" i="6"/>
  <c r="AR38" i="6"/>
  <c r="AS38" i="6"/>
  <c r="AR39" i="6"/>
  <c r="AS39" i="6"/>
  <c r="AR40" i="6"/>
  <c r="AS40" i="6"/>
  <c r="AR41" i="6"/>
  <c r="AS41" i="6"/>
  <c r="AR42" i="6"/>
  <c r="AS42" i="6"/>
  <c r="AR43" i="6"/>
  <c r="AS43" i="6"/>
  <c r="AR44" i="6"/>
  <c r="AS44" i="6"/>
  <c r="AR45" i="6"/>
  <c r="AS45" i="6"/>
  <c r="AR46" i="6"/>
  <c r="AS46" i="6"/>
  <c r="AS35" i="6"/>
  <c r="AR35" i="6"/>
  <c r="I19" i="6" l="1"/>
  <c r="I18" i="6"/>
  <c r="I17" i="6"/>
  <c r="I16" i="6"/>
  <c r="I15" i="6"/>
  <c r="I14" i="6"/>
  <c r="I13" i="6"/>
  <c r="I12" i="6"/>
  <c r="I11" i="6"/>
  <c r="I10" i="6"/>
  <c r="I9" i="6"/>
  <c r="I8" i="6"/>
  <c r="K7" i="6"/>
  <c r="J7" i="6"/>
  <c r="H7" i="6"/>
  <c r="G7" i="6"/>
  <c r="I7" i="6" l="1"/>
  <c r="D19" i="6" l="1"/>
  <c r="D18" i="6"/>
  <c r="D17" i="6"/>
  <c r="D16" i="6"/>
  <c r="D15" i="6"/>
  <c r="D14" i="6"/>
  <c r="D13" i="6"/>
  <c r="D12" i="6"/>
  <c r="D11" i="6"/>
  <c r="D10" i="6"/>
  <c r="D9" i="6"/>
  <c r="D8" i="6"/>
  <c r="F7" i="6"/>
  <c r="E7" i="6"/>
  <c r="C7" i="6"/>
  <c r="B7" i="6"/>
  <c r="D7" i="6" l="1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<sst xmlns="http://schemas.openxmlformats.org/spreadsheetml/2006/main" count="54" uniqueCount="42">
  <si>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</si>
  <si>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</si>
  <si>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</si>
  <si>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</si>
  <si>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</si>
  <si>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</si>
  <si>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</si>
  <si>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</si>
  <si>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</si>
  <si>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</si>
  <si>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</si>
  <si>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</si>
  <si>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</si>
  <si>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</si>
  <si>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</si>
  <si>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</si>
  <si>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</si>
  <si>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</si>
  <si>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</si>
  <si>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</si>
  <si>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</si>
  <si>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</si>
  <si>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</si>
  <si>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</si>
  <si>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</si>
  <si>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</si>
  <si>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</si>
  <si>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</si>
  <si>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</si>
  <si>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</si>
  <si>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</si>
  <si>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</si>
  <si>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</si>
  <si>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</si>
  <si>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</si>
  <si>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</si>
  <si>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</si>
  <si>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</si>
  <si>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</si>
  <si>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</si>
  <si>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10.6: BED CAPACITY AND UTILIZATION OF GUEST HOUSES BY MONTH,  2022 - 2023</t>
  </si>
  <si>
    <t>2023 - 2022  ,urwvcnim unuverukcnunEb wgWjegudnea iaWa wgWj egudnea egukwtcsuawhcTcseg uhwmcswmikea : 10.6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</si>
</sst>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6" fillId="0" borderId="0"/>
    <xf numFmtId="0" fontId="3" fillId="0" borderId="0"/>
    <xf numFmtId="43" fontId="3" fillId="0" borderId="0" applyFont="0" applyFill="0" applyBorder="0" applyAlignment="0" applyProtection="0"/>
    <xf numFmtId="171" fontId="17" fillId="0" borderId="0"/>
    <xf numFmtId="1" fontId="18" fillId="0" borderId="12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1" fontId="18" fillId="0" borderId="12" applyNumberFormat="0"/>
    <xf numFmtId="0" fontId="1" fillId="0" borderId="0"/>
    <xf numFmtId="0" fontId="4" fillId="0" borderId="0"/>
    <xf numFmtId="0" fontId="22" fillId="0" borderId="0" applyFill="0" applyProtection="0"/>
    <xf numFmtId="1" fontId="18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4" fillId="0" borderId="0"/>
    <xf numFmtId="0" fontId="22" fillId="0" borderId="0" applyFill="0" applyProtection="0"/>
    <xf numFmtId="1" fontId="18" fillId="0" borderId="12" applyNumberFormat="0"/>
    <xf numFmtId="0" fontId="1" fillId="0" borderId="0"/>
    <xf numFmtId="0" fontId="3" fillId="0" borderId="0"/>
    <xf numFmtId="0" fontId="23" fillId="0" borderId="0"/>
    <xf numFmtId="0" fontId="24" fillId="0" borderId="0"/>
    <xf numFmtId="0" fontId="3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1" fontId="18" fillId="0" borderId="12" applyNumberFormat="0"/>
    <xf numFmtId="0" fontId="1" fillId="0" borderId="0"/>
    <xf numFmtId="0" fontId="1" fillId="0" borderId="0"/>
    <xf numFmtId="0" fontId="25" fillId="0" borderId="0" applyBorder="0"/>
    <xf numFmtId="0" fontId="25" fillId="0" borderId="0"/>
    <xf numFmtId="0" fontId="1" fillId="0" borderId="0"/>
    <xf numFmtId="0" fontId="4" fillId="0" borderId="0"/>
    <xf numFmtId="0" fontId="4" fillId="0" borderId="0"/>
    <xf numFmtId="1" fontId="18" fillId="0" borderId="12" applyNumberFormat="0"/>
  </cellStyleXfs>
  <cellXfs count="40">
    <xf numFmtId="0" fontId="0" fillId="0" borderId="0" xfId="0"/>
    <xf numFmtId="0" fontId="5" fillId="2" borderId="0" xfId="0" applyFont="1" applyFill="1" applyAlignment="1">
      <alignment horizontal="left" vertical="center"/>
    </xf>
    <xf numFmtId="0" fontId="10" fillId="2" borderId="0" xfId="0" applyFont="1" applyFill="1"/>
    <xf numFmtId="0" fontId="12" fillId="2" borderId="0" xfId="0" applyFont="1" applyFill="1"/>
    <xf numFmtId="37" fontId="9" fillId="2" borderId="6" xfId="0" applyNumberFormat="1" applyFont="1" applyFill="1" applyBorder="1" applyAlignment="1">
      <alignment horizontal="center" vertical="center" wrapText="1"/>
    </xf>
    <xf numFmtId="37" fontId="9" fillId="2" borderId="7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7" fontId="10" fillId="2" borderId="0" xfId="0" applyNumberFormat="1" applyFont="1" applyFill="1"/>
    <xf numFmtId="164" fontId="10" fillId="2" borderId="0" xfId="0" applyNumberFormat="1" applyFont="1" applyFill="1"/>
    <xf numFmtId="0" fontId="13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0" fontId="2" fillId="2" borderId="0" xfId="0" applyFont="1" applyFill="1" applyAlignment="1">
      <alignment horizontal="left" vertical="center" wrapText="1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167" fontId="2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2" borderId="11" xfId="0" applyNumberForma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center" vertical="center"/>
    </xf>
    <xf numFmtId="3" fontId="0" fillId="2" borderId="9" xfId="0" applyNumberForma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75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10.10:  Bed capacity and beds in operation in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200" b="1" i="0" baseline="0">
                <a:effectLst/>
              </a:rPr>
              <a:t>, 2023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2203035544926633"/>
          <c:y val="4.0359755030621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45645514469065E-2"/>
          <c:y val="0.1444703890279628"/>
          <c:w val="0.90029650250643645"/>
          <c:h val="0.69113476815398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'10.6'!$AR$34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cat>
            <c:strRef>
              <c:f>'10.6'!$AQ$35:$AQ$46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'10.6'!$AR$35:$AR$46</c:f>
              <c:numCache>
                <c:formatCode>#,##0</c:formatCode>
                <c:ptCount val="12"/>
                <c:pt idx="0">
                  <c:v>14486</c:v>
                </c:pt>
                <c:pt idx="1">
                  <c:v>14570</c:v>
                </c:pt>
                <c:pt idx="2">
                  <c:v>14672</c:v>
                </c:pt>
                <c:pt idx="3">
                  <c:v>14744</c:v>
                </c:pt>
                <c:pt idx="4">
                  <c:v>14810</c:v>
                </c:pt>
                <c:pt idx="5">
                  <c:v>14924</c:v>
                </c:pt>
                <c:pt idx="6">
                  <c:v>14958</c:v>
                </c:pt>
                <c:pt idx="7">
                  <c:v>14994</c:v>
                </c:pt>
                <c:pt idx="8">
                  <c:v>15104</c:v>
                </c:pt>
                <c:pt idx="9">
                  <c:v>15162</c:v>
                </c:pt>
                <c:pt idx="10">
                  <c:v>15228</c:v>
                </c:pt>
                <c:pt idx="11">
                  <c:v>13763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6-4C33-930A-E5B6914CD652}"/>
            </c:ext>
          </c:extLst>
        </c:ser>
        <c:ser>
          <c:idx val="1"/>
          <c:order val="1"/>
          <c:tx>
            <c:strRef>
              <c:f>'10.6'!$AS$34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BDFFFF"/>
            </a:solidFill>
            <a:ln>
              <a:noFill/>
            </a:ln>
            <a:effectLst/>
          </c:spPr>
          <c:invertIfNegative val="0"/>
          <c:cat>
            <c:strRef>
              <c:f>'10.6'!$AQ$35:$AQ$46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'10.6'!$AS$35:$AS$46</c:f>
              <c:numCache>
                <c:formatCode>#,##0</c:formatCode>
                <c:ptCount val="12"/>
                <c:pt idx="0">
                  <c:v>14486</c:v>
                </c:pt>
                <c:pt idx="1">
                  <c:v>14570</c:v>
                </c:pt>
                <c:pt idx="2">
                  <c:v>14672</c:v>
                </c:pt>
                <c:pt idx="3">
                  <c:v>14744</c:v>
                </c:pt>
                <c:pt idx="4">
                  <c:v>14810</c:v>
                </c:pt>
                <c:pt idx="5">
                  <c:v>14924</c:v>
                </c:pt>
                <c:pt idx="6">
                  <c:v>14958</c:v>
                </c:pt>
                <c:pt idx="7">
                  <c:v>14994</c:v>
                </c:pt>
                <c:pt idx="8">
                  <c:v>15104</c:v>
                </c:pt>
                <c:pt idx="9">
                  <c:v>15162</c:v>
                </c:pt>
                <c:pt idx="10">
                  <c:v>15228</c:v>
                </c:pt>
                <c:pt idx="11">
                  <c:v>13763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6-4C33-930A-E5B6914C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8200"/>
        <c:axId val="404768592"/>
      </c:barChart>
      <c:catAx>
        <c:axId val="4047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592"/>
        <c:crosses val="autoZero"/>
        <c:auto val="1"/>
        <c:lblAlgn val="ctr"/>
        <c:lblOffset val="100"/>
        <c:noMultiLvlLbl val="0"/>
      </c:catAx>
      <c:valAx>
        <c:axId val="404768592"/>
        <c:scaling>
          <c:orientation val="minMax"/>
          <c:max val="16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031134973674509"/>
          <c:y val="0.91533494313210839"/>
          <c:w val="0.44580324011222733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1285874</xdr:colOff>
      <xdr:row>24</xdr:row>
      <xdr:rowOff>38100</xdr:rowOff>
    </xdr:from>
    <xdr:to>
      <xdr:col>9</xdr:col>
      <xdr:colOff>600075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53"/>
  <sheetViews>
    <sheetView tabSelected="1" zoomScaleNormal="100" zoomScaleSheetLayoutView="154" workbookViewId="0">
      <selection activeCell="AP32" sqref="AP32:AV55"/>
    </sheetView>
  </sheetViews>
  <sheetFormatPr defaultColWidth="9.140625" defaultRowHeight="12"/>
  <cols>
    <col min="1" max="1" width="19.28515625" style="2" customWidth="1"/>
    <col min="2" max="6" width="12.85546875" style="2" customWidth="1"/>
    <col min="7" max="11" width="15.140625" style="2" customWidth="1"/>
    <col min="12" max="16384" width="9.140625" style="2"/>
  </cols>
  <sheetData>
    <row r="1" spans="1:11" ht="18.75">
      <c r="A1" s="39" t="s">
        <v>41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2.75">
      <c r="A2" s="38" t="s">
        <v>40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ht="12.75">
      <c r="A3" s="17"/>
      <c r="B3" s="12"/>
    </row>
    <row r="4" spans="1:11" s="3" customFormat="1" ht="12.75">
      <c r="A4" s="33" t="s">
        <v>2</v>
      </c>
      <c r="B4" s="36">
        <v>2022</v>
      </c>
      <c r="C4" s="37"/>
      <c r="D4" s="37"/>
      <c r="E4" s="37"/>
      <c r="F4" s="37"/>
      <c r="G4" s="36">
        <v>2023</v>
      </c>
      <c r="H4" s="37"/>
      <c r="I4" s="37"/>
      <c r="J4" s="37"/>
      <c r="K4" s="37"/>
    </row>
    <row r="5" spans="1:11" s="3" customFormat="1" ht="56.25" customHeight="1">
      <c r="A5" s="34"/>
      <c r="B5" s="4" t="s">
        <v>3</v>
      </c>
      <c r="C5" s="5" t="s">
        <v>4</v>
      </c>
      <c r="D5" s="5" t="s">
        <v>1</v>
      </c>
      <c r="E5" s="5" t="s">
        <v>5</v>
      </c>
      <c r="F5" s="5" t="s">
        <v>6</v>
      </c>
      <c r="G5" s="4" t="s">
        <v>3</v>
      </c>
      <c r="H5" s="5" t="s">
        <v>4</v>
      </c>
      <c r="I5" s="5" t="s">
        <v>1</v>
      </c>
      <c r="J5" s="5" t="s">
        <v>5</v>
      </c>
      <c r="K5" s="5" t="s">
        <v>6</v>
      </c>
    </row>
    <row r="6" spans="1:11" s="3" customFormat="1" ht="51.75" customHeight="1">
      <c r="A6" s="35"/>
      <c r="B6" s="19" t="s">
        <v>11</v>
      </c>
      <c r="C6" s="18" t="s">
        <v>7</v>
      </c>
      <c r="D6" s="18" t="s">
        <v>8</v>
      </c>
      <c r="E6" s="18" t="s">
        <v>9</v>
      </c>
      <c r="F6" s="14" t="s">
        <v>10</v>
      </c>
      <c r="G6" s="19" t="s">
        <v>11</v>
      </c>
      <c r="H6" s="18" t="s">
        <v>7</v>
      </c>
      <c r="I6" s="18" t="s">
        <v>8</v>
      </c>
      <c r="J6" s="18" t="s">
        <v>9</v>
      </c>
      <c r="K6" s="14" t="s">
        <v>10</v>
      </c>
    </row>
    <row r="7" spans="1:11" s="3" customFormat="1" ht="18.75" customHeight="1">
      <c r="A7" s="22" t="s">
        <v>12</v>
      </c>
      <c r="B7" s="30">
        <f>AVERAGE(B8:B19)</f>
        <v>13761</v>
      </c>
      <c r="C7" s="15">
        <f>AVERAGE(C8:C19)</f>
        <v>12981.833333333334</v>
      </c>
      <c r="D7" s="25">
        <f>AVERAGE(D8:D19)</f>
        <v>94.176130470080579</v>
      </c>
      <c r="E7" s="25">
        <f>AVERAGE(E8:E19)</f>
        <v>30.775000000000006</v>
      </c>
      <c r="F7" s="15">
        <f>SUM(F8:F19)</f>
        <v>1448953.7818134096</v>
      </c>
      <c r="G7" s="30">
        <f>AVERAGE(G8:G19)</f>
        <v>14784.583333333334</v>
      </c>
      <c r="H7" s="15">
        <f>AVERAGE(H8:H19)</f>
        <v>14784.583333333334</v>
      </c>
      <c r="I7" s="25">
        <f>AVERAGE(I8:I19)</f>
        <v>100</v>
      </c>
      <c r="J7" s="25">
        <f>AVERAGE(J8:J19)</f>
        <v>42.708333333333336</v>
      </c>
      <c r="K7" s="15">
        <f>SUM(K8:K19)</f>
        <v>2294204.278236107</v>
      </c>
    </row>
    <row r="8" spans="1:11" s="3" customFormat="1" ht="15">
      <c r="A8" s="31" t="s">
        <v>13</v>
      </c>
      <c r="B8" s="27">
        <v>13132</v>
      </c>
      <c r="C8" s="23">
        <v>11020</v>
      </c>
      <c r="D8" s="26">
        <f>C8/B8*100</f>
        <v>83.917148949131899</v>
      </c>
      <c r="E8" s="26">
        <v>39.700000000000003</v>
      </c>
      <c r="F8" s="23">
        <v>135464.37037037036</v>
      </c>
      <c r="G8" s="27">
        <v>14486</v>
      </c>
      <c r="H8" s="23">
        <v>14486</v>
      </c>
      <c r="I8" s="26">
        <f>H8/G8*100</f>
        <v>100</v>
      </c>
      <c r="J8" s="26">
        <v>50.3</v>
      </c>
      <c r="K8" s="23">
        <v>225877.13595765794</v>
      </c>
    </row>
    <row r="9" spans="1:11" s="3" customFormat="1" ht="15">
      <c r="A9" s="31" t="s">
        <v>14</v>
      </c>
      <c r="B9" s="27">
        <v>13236</v>
      </c>
      <c r="C9" s="23">
        <v>11020</v>
      </c>
      <c r="D9" s="26">
        <f t="shared" ref="D9:D19" si="0">C9/B9*100</f>
        <v>83.257781807192515</v>
      </c>
      <c r="E9" s="26">
        <v>37.700000000000003</v>
      </c>
      <c r="F9" s="23">
        <v>116360.19331453886</v>
      </c>
      <c r="G9" s="27">
        <v>14570</v>
      </c>
      <c r="H9" s="23">
        <v>14570</v>
      </c>
      <c r="I9" s="26">
        <f t="shared" ref="I9:I19" si="1">H9/G9*100</f>
        <v>100</v>
      </c>
      <c r="J9" s="26">
        <v>53.3</v>
      </c>
      <c r="K9" s="23">
        <v>217610.46626984127</v>
      </c>
    </row>
    <row r="10" spans="1:11" s="3" customFormat="1" ht="15">
      <c r="A10" s="31" t="s">
        <v>15</v>
      </c>
      <c r="B10" s="27">
        <v>13490</v>
      </c>
      <c r="C10" s="23">
        <v>11226</v>
      </c>
      <c r="D10" s="26">
        <f t="shared" si="0"/>
        <v>83.217197924388429</v>
      </c>
      <c r="E10" s="26">
        <v>34</v>
      </c>
      <c r="F10" s="23">
        <v>118369.07528641571</v>
      </c>
      <c r="G10" s="27">
        <v>14672</v>
      </c>
      <c r="H10" s="23">
        <v>14672</v>
      </c>
      <c r="I10" s="26">
        <f t="shared" si="1"/>
        <v>100</v>
      </c>
      <c r="J10" s="26">
        <v>48.9</v>
      </c>
      <c r="K10" s="23">
        <v>222318.18240830899</v>
      </c>
    </row>
    <row r="11" spans="1:11" s="3" customFormat="1" ht="15">
      <c r="A11" s="31" t="s">
        <v>16</v>
      </c>
      <c r="B11" s="27">
        <v>13550</v>
      </c>
      <c r="C11" s="23">
        <v>11278</v>
      </c>
      <c r="D11" s="26">
        <f t="shared" si="0"/>
        <v>83.232472324723247</v>
      </c>
      <c r="E11" s="26">
        <v>25.7</v>
      </c>
      <c r="F11" s="23">
        <v>87045.242789339172</v>
      </c>
      <c r="G11" s="27">
        <v>14744</v>
      </c>
      <c r="H11" s="23">
        <v>14744</v>
      </c>
      <c r="I11" s="26">
        <f t="shared" si="1"/>
        <v>100</v>
      </c>
      <c r="J11" s="26">
        <v>40.5</v>
      </c>
      <c r="K11" s="23">
        <v>178927.18644067796</v>
      </c>
    </row>
    <row r="12" spans="1:11" s="3" customFormat="1" ht="15">
      <c r="A12" s="31" t="s">
        <v>17</v>
      </c>
      <c r="B12" s="27">
        <v>13596</v>
      </c>
      <c r="C12" s="23">
        <v>13596</v>
      </c>
      <c r="D12" s="26">
        <f t="shared" si="0"/>
        <v>100</v>
      </c>
      <c r="E12" s="26">
        <v>18.2</v>
      </c>
      <c r="F12" s="23">
        <v>76749.543375680587</v>
      </c>
      <c r="G12" s="27">
        <v>14810</v>
      </c>
      <c r="H12" s="23">
        <v>14810</v>
      </c>
      <c r="I12" s="26">
        <f t="shared" si="1"/>
        <v>100</v>
      </c>
      <c r="J12" s="26">
        <v>31.1</v>
      </c>
      <c r="K12" s="23">
        <v>142877.76931070315</v>
      </c>
    </row>
    <row r="13" spans="1:11" s="3" customFormat="1" ht="15">
      <c r="A13" s="31" t="s">
        <v>18</v>
      </c>
      <c r="B13" s="27">
        <v>13714</v>
      </c>
      <c r="C13" s="23">
        <v>13714</v>
      </c>
      <c r="D13" s="26">
        <f t="shared" si="0"/>
        <v>100</v>
      </c>
      <c r="E13" s="26">
        <v>20.8</v>
      </c>
      <c r="F13" s="23">
        <v>85653.816652161302</v>
      </c>
      <c r="G13" s="27">
        <v>14924</v>
      </c>
      <c r="H13" s="23">
        <v>14924</v>
      </c>
      <c r="I13" s="26">
        <f t="shared" si="1"/>
        <v>100</v>
      </c>
      <c r="J13" s="26">
        <v>30.7</v>
      </c>
      <c r="K13" s="23">
        <v>137410.06596592968</v>
      </c>
    </row>
    <row r="14" spans="1:11" s="3" customFormat="1" ht="15">
      <c r="A14" s="31" t="s">
        <v>19</v>
      </c>
      <c r="B14" s="27">
        <v>13786</v>
      </c>
      <c r="C14" s="23">
        <v>13514</v>
      </c>
      <c r="D14" s="26">
        <f t="shared" si="0"/>
        <v>98.026983896706795</v>
      </c>
      <c r="E14" s="26">
        <v>29.8</v>
      </c>
      <c r="F14" s="23">
        <v>124727.70039263062</v>
      </c>
      <c r="G14" s="27">
        <v>14958</v>
      </c>
      <c r="H14" s="23">
        <v>14958</v>
      </c>
      <c r="I14" s="26">
        <f t="shared" si="1"/>
        <v>100</v>
      </c>
      <c r="J14" s="26">
        <v>39.200000000000003</v>
      </c>
      <c r="K14" s="23">
        <v>181928.69296613324</v>
      </c>
    </row>
    <row r="15" spans="1:11" s="3" customFormat="1" ht="15">
      <c r="A15" s="31" t="s">
        <v>20</v>
      </c>
      <c r="B15" s="27">
        <v>13914</v>
      </c>
      <c r="C15" s="23">
        <v>13700</v>
      </c>
      <c r="D15" s="26">
        <f t="shared" si="0"/>
        <v>98.461980738824209</v>
      </c>
      <c r="E15" s="26">
        <v>30.3</v>
      </c>
      <c r="F15" s="23">
        <v>128793.57951312045</v>
      </c>
      <c r="G15" s="27">
        <v>14994</v>
      </c>
      <c r="H15" s="23">
        <v>14994</v>
      </c>
      <c r="I15" s="26">
        <f t="shared" si="1"/>
        <v>100</v>
      </c>
      <c r="J15" s="26">
        <v>41</v>
      </c>
      <c r="K15" s="23">
        <v>190455.5834882856</v>
      </c>
    </row>
    <row r="16" spans="1:11" s="3" customFormat="1" ht="15">
      <c r="A16" s="31" t="s">
        <v>21</v>
      </c>
      <c r="B16" s="27">
        <v>14152</v>
      </c>
      <c r="C16" s="23">
        <v>14152</v>
      </c>
      <c r="D16" s="26">
        <f t="shared" si="0"/>
        <v>100</v>
      </c>
      <c r="E16" s="26">
        <v>23.7</v>
      </c>
      <c r="F16" s="23">
        <v>100512.38276299112</v>
      </c>
      <c r="G16" s="27">
        <v>15104</v>
      </c>
      <c r="H16" s="23">
        <v>15104</v>
      </c>
      <c r="I16" s="26">
        <f t="shared" si="1"/>
        <v>100</v>
      </c>
      <c r="J16" s="26">
        <v>36.4</v>
      </c>
      <c r="K16" s="23">
        <v>164854.84659746251</v>
      </c>
    </row>
    <row r="17" spans="1:11" s="3" customFormat="1" ht="15">
      <c r="A17" s="31" t="s">
        <v>22</v>
      </c>
      <c r="B17" s="27">
        <v>14208</v>
      </c>
      <c r="C17" s="23">
        <v>14208</v>
      </c>
      <c r="D17" s="26">
        <f t="shared" si="0"/>
        <v>100</v>
      </c>
      <c r="E17" s="26">
        <v>29.1</v>
      </c>
      <c r="F17" s="23">
        <v>128270.44596443228</v>
      </c>
      <c r="G17" s="27">
        <v>15162</v>
      </c>
      <c r="H17" s="23">
        <v>15162</v>
      </c>
      <c r="I17" s="26">
        <f t="shared" si="1"/>
        <v>100</v>
      </c>
      <c r="J17" s="26">
        <v>36.700000000000003</v>
      </c>
      <c r="K17" s="23">
        <v>172288.80916030533</v>
      </c>
    </row>
    <row r="18" spans="1:11" s="3" customFormat="1" ht="15">
      <c r="A18" s="31" t="s">
        <v>23</v>
      </c>
      <c r="B18" s="27">
        <v>14208</v>
      </c>
      <c r="C18" s="23">
        <v>14208</v>
      </c>
      <c r="D18" s="26">
        <f t="shared" si="0"/>
        <v>100</v>
      </c>
      <c r="E18" s="26">
        <v>40.299999999999997</v>
      </c>
      <c r="F18" s="23">
        <v>171757.49740753544</v>
      </c>
      <c r="G18" s="27">
        <v>15228</v>
      </c>
      <c r="H18" s="23">
        <v>15228</v>
      </c>
      <c r="I18" s="26">
        <f t="shared" si="1"/>
        <v>100</v>
      </c>
      <c r="J18" s="26">
        <v>47.2</v>
      </c>
      <c r="K18" s="23">
        <v>215749.37404580152</v>
      </c>
    </row>
    <row r="19" spans="1:11" s="3" customFormat="1" ht="15">
      <c r="A19" s="32" t="s">
        <v>24</v>
      </c>
      <c r="B19" s="29">
        <v>14146</v>
      </c>
      <c r="C19" s="24">
        <v>14146</v>
      </c>
      <c r="D19" s="28">
        <f t="shared" si="0"/>
        <v>100</v>
      </c>
      <c r="E19" s="28">
        <v>40</v>
      </c>
      <c r="F19" s="24">
        <v>175249.9339841934</v>
      </c>
      <c r="G19" s="29">
        <v>13763</v>
      </c>
      <c r="H19" s="24">
        <v>13763</v>
      </c>
      <c r="I19" s="28">
        <f t="shared" si="1"/>
        <v>100</v>
      </c>
      <c r="J19" s="28">
        <v>57.2</v>
      </c>
      <c r="K19" s="24">
        <v>243906.16562499999</v>
      </c>
    </row>
    <row r="20" spans="1:11" ht="20.25" customHeight="1">
      <c r="A20" s="1" t="s">
        <v>0</v>
      </c>
      <c r="B20" s="8"/>
      <c r="C20" s="8"/>
      <c r="D20" s="9"/>
      <c r="F20" s="16"/>
      <c r="G20" s="8"/>
      <c r="H20" s="8"/>
      <c r="I20" s="9"/>
      <c r="K20" s="16" t="s">
        <v>25</v>
      </c>
    </row>
    <row r="21" spans="1:11">
      <c r="A21" s="20" t="s">
        <v>38</v>
      </c>
      <c r="B21" s="13"/>
    </row>
    <row r="22" spans="1:11">
      <c r="A22" s="21" t="s">
        <v>39</v>
      </c>
      <c r="B22" s="13"/>
    </row>
    <row r="23" spans="1:11">
      <c r="A23" s="11"/>
      <c r="B23" s="13"/>
    </row>
    <row r="24" spans="1:11">
      <c r="A24" s="11"/>
      <c r="B24" s="13"/>
    </row>
    <row r="25" spans="1:11">
      <c r="A25" s="11"/>
      <c r="B25" s="13"/>
    </row>
    <row r="26" spans="1:11">
      <c r="A26" s="11"/>
      <c r="B26" s="13"/>
    </row>
    <row r="27" spans="1:11" ht="12.75">
      <c r="A27" s="11"/>
      <c r="B27" s="7"/>
    </row>
    <row r="28" spans="1:11" ht="12.75">
      <c r="A28" s="11"/>
      <c r="B28" s="7"/>
    </row>
    <row r="29" spans="1:11" ht="12.75">
      <c r="A29" s="11"/>
      <c r="B29" s="7"/>
    </row>
    <row r="30" spans="1:11" ht="12.75">
      <c r="A30" s="11"/>
      <c r="B30" s="7"/>
    </row>
    <row r="31" spans="1:11" ht="12.75">
      <c r="A31" s="11"/>
      <c r="B31" s="7"/>
    </row>
    <row r="32" spans="1:11" ht="12.75">
      <c r="A32" s="11"/>
      <c r="B32" s="7"/>
    </row>
    <row r="33" spans="1:45" ht="12.75">
      <c r="A33" s="11"/>
      <c r="B33" s="7"/>
      <c r="AQ33" s="3"/>
      <c r="AR33" s="3"/>
      <c r="AS33" s="3"/>
    </row>
    <row r="34" spans="1:45" ht="36">
      <c r="A34" s="11"/>
      <c r="B34" s="7"/>
      <c r="AR34" s="10" t="s">
        <v>11</v>
      </c>
      <c r="AS34" s="10" t="s">
        <v>26</v>
      </c>
    </row>
    <row r="35" spans="1:45" ht="12.75">
      <c r="A35" s="11"/>
      <c r="B35" s="7"/>
      <c r="AQ35" s="11" t="s">
        <v>27</v>
      </c>
      <c r="AR35" s="6">
        <f>G8</f>
        <v>14486</v>
      </c>
      <c r="AS35" s="6">
        <f>H8</f>
        <v>14486</v>
      </c>
    </row>
    <row r="36" spans="1:45" ht="12.75">
      <c r="B36" s="7"/>
      <c r="AQ36" s="11" t="s">
        <v>28</v>
      </c>
      <c r="AR36" s="6">
        <f>G9</f>
        <v>14570</v>
      </c>
      <c r="AS36" s="6">
        <f>H9</f>
        <v>14570</v>
      </c>
    </row>
    <row r="37" spans="1:45" ht="12.75">
      <c r="B37" s="7"/>
      <c r="AQ37" s="11" t="s">
        <v>29</v>
      </c>
      <c r="AR37" s="6">
        <f>G10</f>
        <v>14672</v>
      </c>
      <c r="AS37" s="6">
        <f>H10</f>
        <v>14672</v>
      </c>
    </row>
    <row r="38" spans="1:45" ht="12.75">
      <c r="B38" s="7"/>
      <c r="AQ38" s="11" t="s">
        <v>30</v>
      </c>
      <c r="AR38" s="6">
        <f>G11</f>
        <v>14744</v>
      </c>
      <c r="AS38" s="6">
        <f>H11</f>
        <v>14744</v>
      </c>
    </row>
    <row r="39" spans="1:45" ht="12.75">
      <c r="F39" s="3"/>
      <c r="J39" s="3"/>
      <c r="AQ39" s="11" t="s">
        <v>17</v>
      </c>
      <c r="AR39" s="6">
        <f>G12</f>
        <v>14810</v>
      </c>
      <c r="AS39" s="6">
        <f>H12</f>
        <v>14810</v>
      </c>
    </row>
    <row r="40" spans="1:45" ht="12.75">
      <c r="AQ40" s="11" t="s">
        <v>31</v>
      </c>
      <c r="AR40" s="6">
        <f>G13</f>
        <v>14924</v>
      </c>
      <c r="AS40" s="6">
        <f>H13</f>
        <v>14924</v>
      </c>
    </row>
    <row r="41" spans="1:45" ht="12.75">
      <c r="AQ41" s="11" t="s">
        <v>32</v>
      </c>
      <c r="AR41" s="6">
        <f>G14</f>
        <v>14958</v>
      </c>
      <c r="AS41" s="6">
        <f>H14</f>
        <v>14958</v>
      </c>
    </row>
    <row r="42" spans="1:45" ht="12.75">
      <c r="AQ42" s="11" t="s">
        <v>33</v>
      </c>
      <c r="AR42" s="6">
        <f>G15</f>
        <v>14994</v>
      </c>
      <c r="AS42" s="6">
        <f>H15</f>
        <v>14994</v>
      </c>
    </row>
    <row r="43" spans="1:45" ht="12.75">
      <c r="AQ43" s="11" t="s">
        <v>34</v>
      </c>
      <c r="AR43" s="6">
        <f>G16</f>
        <v>15104</v>
      </c>
      <c r="AS43" s="6">
        <f>H16</f>
        <v>15104</v>
      </c>
    </row>
    <row r="44" spans="1:45" ht="12.75">
      <c r="AQ44" s="11" t="s">
        <v>35</v>
      </c>
      <c r="AR44" s="6">
        <f>G17</f>
        <v>15162</v>
      </c>
      <c r="AS44" s="6">
        <f>H17</f>
        <v>15162</v>
      </c>
    </row>
    <row r="45" spans="1:45" ht="12.75">
      <c r="AQ45" s="11" t="s">
        <v>36</v>
      </c>
      <c r="AR45" s="6">
        <f>G18</f>
        <v>15228</v>
      </c>
      <c r="AS45" s="6">
        <f>H18</f>
        <v>15228</v>
      </c>
    </row>
    <row r="46" spans="1:45" ht="12.75">
      <c r="AQ46" s="11" t="s">
        <v>37</v>
      </c>
      <c r="AR46" s="6">
        <f>G19</f>
        <v>13763</v>
      </c>
      <c r="AS46" s="6">
        <f>H19</f>
        <v>13763</v>
      </c>
    </row>
    <row r="53" spans="7:9" ht="12.75">
      <c r="G53" s="3"/>
      <c r="H53" s="3"/>
      <c r="I53" s="3"/>
    </row>
  </sheetData>
  <mergeCells count="5">
    <mergeCell ref="G4:K4"/>
    <mergeCell ref="A1:K1"/>
    <mergeCell ref="A2:K2"/>
    <mergeCell ref="B4:F4"/>
    <mergeCell ref="A4:A6"/>
  </mergeCells>
  <pageMargins left="0.7" right="0.7" top="0.75" bottom="0.75" header="0.3" footer="0.3"/>
  <pageSetup paperSize="9" scale="67" orientation="landscape" horizontalDpi="4294967295" verticalDpi="4294967295" r:id="rId1"/>
  <rowBreaks count="1" manualBreakCount="1">
    <brk id="47" max="5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2024-07-09T03:25:55Z</cp:lastPrinted>
  <dcterms:created xsi:type="dcterms:W3CDTF">2019-02-27T06:18:18Z</dcterms:created>
  <dcterms:modified xsi:type="dcterms:W3CDTF">2024-07-09T03:26:17Z</dcterms:modified>
</cp:coreProperties>
</file>