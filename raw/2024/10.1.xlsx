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0E6D9C5B-8B44-4F50-9FDF-D7A0270D27D8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" sheetId="1" r:id="rId1"/>
  </sheets>
  <definedNames>
    <definedName name="_xlnm.Print_Area" localSheetId="0">'10.1'!$A$1:$U$120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1" l="1"/>
  <c r="S59" i="1" l="1"/>
  <c r="S60" i="1"/>
  <c r="S45" i="1"/>
  <c r="S46" i="1"/>
  <c r="S48" i="1"/>
  <c r="S49" i="1"/>
  <c r="S36" i="1"/>
  <c r="S38" i="1"/>
  <c r="S39" i="1"/>
  <c r="S41" i="1"/>
  <c r="S42" i="1"/>
  <c r="S26" i="1"/>
  <c r="S27" i="1"/>
  <c r="S28" i="1"/>
  <c r="S29" i="1"/>
  <c r="S30" i="1"/>
  <c r="S31" i="1"/>
  <c r="S32" i="1"/>
  <c r="S33" i="1"/>
  <c r="S34" i="1"/>
  <c r="S10" i="1"/>
  <c r="S11" i="1"/>
  <c r="S12" i="1"/>
  <c r="S13" i="1"/>
  <c r="S14" i="1"/>
  <c r="S15" i="1"/>
  <c r="S16" i="1"/>
  <c r="S17" i="1"/>
  <c r="S19" i="1"/>
  <c r="S20" i="1"/>
  <c r="S21" i="1"/>
  <c r="S22" i="1"/>
  <c r="S23" i="1"/>
  <c r="S24" i="1"/>
  <c r="S25" i="1"/>
  <c r="S69" i="1" l="1"/>
  <c r="S68" i="1"/>
  <c r="S67" i="1"/>
  <c r="S66" i="1"/>
  <c r="S65" i="1"/>
  <c r="S64" i="1"/>
  <c r="S63" i="1"/>
  <c r="S57" i="1"/>
  <c r="S56" i="1"/>
  <c r="S55" i="1"/>
  <c r="S54" i="1"/>
  <c r="S52" i="1"/>
  <c r="S51" i="1"/>
  <c r="S44" i="1"/>
  <c r="S43" i="1"/>
  <c r="S9" i="1"/>
  <c r="G62" i="1"/>
  <c r="G58" i="1"/>
  <c r="G53" i="1"/>
  <c r="G50" i="1"/>
  <c r="G35" i="1"/>
  <c r="G8" i="1"/>
  <c r="G7" i="1" l="1"/>
  <c r="M69" i="1" l="1"/>
  <c r="M65" i="1"/>
  <c r="M41" i="1"/>
  <c r="M29" i="1"/>
  <c r="M17" i="1"/>
  <c r="M63" i="1"/>
  <c r="M51" i="1"/>
  <c r="M39" i="1"/>
  <c r="M27" i="1"/>
  <c r="M15" i="1"/>
  <c r="M50" i="1"/>
  <c r="M38" i="1"/>
  <c r="M26" i="1"/>
  <c r="M14" i="1"/>
  <c r="M61" i="1"/>
  <c r="M49" i="1"/>
  <c r="M37" i="1"/>
  <c r="M25" i="1"/>
  <c r="M13" i="1"/>
  <c r="M60" i="1"/>
  <c r="M48" i="1"/>
  <c r="M36" i="1"/>
  <c r="M24" i="1"/>
  <c r="M12" i="1"/>
  <c r="M59" i="1"/>
  <c r="M35" i="1"/>
  <c r="M23" i="1"/>
  <c r="M11" i="1"/>
  <c r="M52" i="1"/>
  <c r="M28" i="1"/>
  <c r="M46" i="1"/>
  <c r="M34" i="1"/>
  <c r="M22" i="1"/>
  <c r="M10" i="1"/>
  <c r="M57" i="1"/>
  <c r="M45" i="1"/>
  <c r="M33" i="1"/>
  <c r="M21" i="1"/>
  <c r="M9" i="1"/>
  <c r="M68" i="1"/>
  <c r="M56" i="1"/>
  <c r="M44" i="1"/>
  <c r="M32" i="1"/>
  <c r="M20" i="1"/>
  <c r="M67" i="1"/>
  <c r="M55" i="1"/>
  <c r="M43" i="1"/>
  <c r="M31" i="1"/>
  <c r="M19" i="1"/>
  <c r="M7" i="1"/>
  <c r="M66" i="1"/>
  <c r="M54" i="1"/>
  <c r="M42" i="1"/>
  <c r="M30" i="1"/>
  <c r="M18" i="1"/>
  <c r="M64" i="1"/>
  <c r="M40" i="1"/>
  <c r="M16" i="1"/>
  <c r="M53" i="1"/>
  <c r="M8" i="1"/>
  <c r="M62" i="1"/>
  <c r="M58" i="1"/>
  <c r="D62" i="1" l="1"/>
  <c r="F62" i="1"/>
  <c r="S62" i="1" s="1"/>
  <c r="R16" i="1" l="1"/>
  <c r="R17" i="1"/>
  <c r="R19" i="1"/>
  <c r="R23" i="1"/>
  <c r="R24" i="1"/>
  <c r="R25" i="1"/>
  <c r="R26" i="1"/>
  <c r="R27" i="1"/>
  <c r="R28" i="1"/>
  <c r="R29" i="1"/>
  <c r="R30" i="1"/>
  <c r="R31" i="1"/>
  <c r="R32" i="1"/>
  <c r="R34" i="1"/>
  <c r="R38" i="1"/>
  <c r="R43" i="1"/>
  <c r="R44" i="1"/>
  <c r="R51" i="1"/>
  <c r="R52" i="1"/>
  <c r="R54" i="1"/>
  <c r="R55" i="1"/>
  <c r="R56" i="1"/>
  <c r="R57" i="1"/>
  <c r="R61" i="1"/>
  <c r="R63" i="1"/>
  <c r="R64" i="1"/>
  <c r="R65" i="1"/>
  <c r="R66" i="1"/>
  <c r="R67" i="1"/>
  <c r="R68" i="1"/>
  <c r="R69" i="1"/>
  <c r="R9" i="1"/>
  <c r="R10" i="1"/>
  <c r="R11" i="1"/>
  <c r="R13" i="1"/>
  <c r="R14" i="1"/>
  <c r="R15" i="1"/>
  <c r="F58" i="1"/>
  <c r="S58" i="1" s="1"/>
  <c r="F53" i="1"/>
  <c r="S53" i="1" s="1"/>
  <c r="F50" i="1"/>
  <c r="S50" i="1" s="1"/>
  <c r="F35" i="1"/>
  <c r="S35" i="1" s="1"/>
  <c r="F8" i="1"/>
  <c r="S8" i="1" s="1"/>
  <c r="F7" i="1" l="1"/>
  <c r="S7" i="1" s="1"/>
  <c r="Q12" i="1"/>
  <c r="Q18" i="1"/>
  <c r="Q20" i="1"/>
  <c r="L7" i="1" l="1"/>
  <c r="L69" i="1"/>
  <c r="L61" i="1"/>
  <c r="L45" i="1"/>
  <c r="L37" i="1"/>
  <c r="L29" i="1"/>
  <c r="L21" i="1"/>
  <c r="L13" i="1"/>
  <c r="L32" i="1"/>
  <c r="L16" i="1"/>
  <c r="L68" i="1"/>
  <c r="L60" i="1"/>
  <c r="L52" i="1"/>
  <c r="L44" i="1"/>
  <c r="L36" i="1"/>
  <c r="L28" i="1"/>
  <c r="L20" i="1"/>
  <c r="L12" i="1"/>
  <c r="L40" i="1"/>
  <c r="L24" i="1"/>
  <c r="L8" i="1"/>
  <c r="L67" i="1"/>
  <c r="L59" i="1"/>
  <c r="L51" i="1"/>
  <c r="L43" i="1"/>
  <c r="L27" i="1"/>
  <c r="L19" i="1"/>
  <c r="L11" i="1"/>
  <c r="L48" i="1"/>
  <c r="L66" i="1"/>
  <c r="L42" i="1"/>
  <c r="L34" i="1"/>
  <c r="L26" i="1"/>
  <c r="L18" i="1"/>
  <c r="L10" i="1"/>
  <c r="L56" i="1"/>
  <c r="L65" i="1"/>
  <c r="L57" i="1"/>
  <c r="L49" i="1"/>
  <c r="L41" i="1"/>
  <c r="L33" i="1"/>
  <c r="L25" i="1"/>
  <c r="L17" i="1"/>
  <c r="L9" i="1"/>
  <c r="L64" i="1"/>
  <c r="L63" i="1"/>
  <c r="L55" i="1"/>
  <c r="L47" i="1"/>
  <c r="L39" i="1"/>
  <c r="L31" i="1"/>
  <c r="L23" i="1"/>
  <c r="L15" i="1"/>
  <c r="L54" i="1"/>
  <c r="L46" i="1"/>
  <c r="L38" i="1"/>
  <c r="L30" i="1"/>
  <c r="L22" i="1"/>
  <c r="L14" i="1"/>
  <c r="L35" i="1"/>
  <c r="L62" i="1"/>
  <c r="L58" i="1"/>
  <c r="L53" i="1"/>
  <c r="L50" i="1"/>
  <c r="Q66" i="1" l="1"/>
  <c r="Q63" i="1"/>
  <c r="Q60" i="1"/>
  <c r="Q59" i="1"/>
  <c r="Q57" i="1"/>
  <c r="Q55" i="1"/>
  <c r="Q49" i="1"/>
  <c r="Q48" i="1"/>
  <c r="Q46" i="1"/>
  <c r="Q45" i="1"/>
  <c r="Q42" i="1"/>
  <c r="Q41" i="1"/>
  <c r="Q40" i="1"/>
  <c r="Q39" i="1"/>
  <c r="Q37" i="1"/>
  <c r="Q33" i="1"/>
  <c r="Q30" i="1"/>
  <c r="Q29" i="1"/>
  <c r="Q27" i="1"/>
  <c r="Q26" i="1"/>
  <c r="Q22" i="1"/>
  <c r="Q21" i="1"/>
  <c r="Q14" i="1"/>
  <c r="Q13" i="1"/>
  <c r="Q10" i="1"/>
  <c r="E62" i="1"/>
  <c r="R62" i="1" s="1"/>
  <c r="E58" i="1"/>
  <c r="E53" i="1"/>
  <c r="R53" i="1" s="1"/>
  <c r="E50" i="1"/>
  <c r="R50" i="1" s="1"/>
  <c r="E35" i="1"/>
  <c r="R35" i="1" s="1"/>
  <c r="E8" i="1"/>
  <c r="R8" i="1" s="1"/>
  <c r="E7" i="1" l="1"/>
  <c r="R7" i="1" s="1"/>
  <c r="K64" i="1" l="1"/>
  <c r="K52" i="1"/>
  <c r="K40" i="1"/>
  <c r="K28" i="1"/>
  <c r="K16" i="1"/>
  <c r="K63" i="1"/>
  <c r="K51" i="1"/>
  <c r="K39" i="1"/>
  <c r="K27" i="1"/>
  <c r="K15" i="1"/>
  <c r="K17" i="1"/>
  <c r="K38" i="1"/>
  <c r="K26" i="1"/>
  <c r="K14" i="1"/>
  <c r="K29" i="1"/>
  <c r="K61" i="1"/>
  <c r="K49" i="1"/>
  <c r="K37" i="1"/>
  <c r="K25" i="1"/>
  <c r="K13" i="1"/>
  <c r="K66" i="1"/>
  <c r="K60" i="1"/>
  <c r="K48" i="1"/>
  <c r="K36" i="1"/>
  <c r="K24" i="1"/>
  <c r="K12" i="1"/>
  <c r="K34" i="1"/>
  <c r="K65" i="1"/>
  <c r="K59" i="1"/>
  <c r="K47" i="1"/>
  <c r="K23" i="1"/>
  <c r="K11" i="1"/>
  <c r="K46" i="1"/>
  <c r="K10" i="1"/>
  <c r="K30" i="1"/>
  <c r="K41" i="1"/>
  <c r="K22" i="1"/>
  <c r="K54" i="1"/>
  <c r="K69" i="1"/>
  <c r="K57" i="1"/>
  <c r="K45" i="1"/>
  <c r="K33" i="1"/>
  <c r="K21" i="1"/>
  <c r="K9" i="1"/>
  <c r="K68" i="1"/>
  <c r="K56" i="1"/>
  <c r="K44" i="1"/>
  <c r="K32" i="1"/>
  <c r="K20" i="1"/>
  <c r="K42" i="1"/>
  <c r="K53" i="1"/>
  <c r="K67" i="1"/>
  <c r="K55" i="1"/>
  <c r="K43" i="1"/>
  <c r="K31" i="1"/>
  <c r="K19" i="1"/>
  <c r="K7" i="1"/>
  <c r="K18" i="1"/>
  <c r="K50" i="1"/>
  <c r="K8" i="1"/>
  <c r="K62" i="1"/>
  <c r="K35" i="1"/>
  <c r="K58" i="1"/>
  <c r="P9" i="1" l="1"/>
  <c r="P67" i="1"/>
  <c r="P66" i="1"/>
  <c r="P65" i="1"/>
  <c r="P64" i="1"/>
  <c r="P63" i="1"/>
  <c r="P61" i="1"/>
  <c r="P60" i="1"/>
  <c r="P59" i="1"/>
  <c r="P57" i="1"/>
  <c r="P56" i="1"/>
  <c r="P55" i="1"/>
  <c r="P54" i="1"/>
  <c r="P52" i="1"/>
  <c r="P51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D58" i="1"/>
  <c r="Q58" i="1" s="1"/>
  <c r="D53" i="1"/>
  <c r="D50" i="1"/>
  <c r="D35" i="1"/>
  <c r="D8" i="1"/>
  <c r="D7" i="1" l="1"/>
  <c r="J7" i="1" l="1"/>
  <c r="J53" i="1"/>
  <c r="J37" i="1"/>
  <c r="J27" i="1"/>
  <c r="J50" i="1"/>
  <c r="J67" i="1"/>
  <c r="J59" i="1"/>
  <c r="J51" i="1"/>
  <c r="J43" i="1"/>
  <c r="J19" i="1"/>
  <c r="J42" i="1"/>
  <c r="J18" i="1"/>
  <c r="J65" i="1"/>
  <c r="J57" i="1"/>
  <c r="J49" i="1"/>
  <c r="J41" i="1"/>
  <c r="J33" i="1"/>
  <c r="J25" i="1"/>
  <c r="J17" i="1"/>
  <c r="J9" i="1"/>
  <c r="J63" i="1"/>
  <c r="J47" i="1"/>
  <c r="J31" i="1"/>
  <c r="J23" i="1"/>
  <c r="J21" i="1"/>
  <c r="J68" i="1"/>
  <c r="J52" i="1"/>
  <c r="J36" i="1"/>
  <c r="J20" i="1"/>
  <c r="J66" i="1"/>
  <c r="J26" i="1"/>
  <c r="J64" i="1"/>
  <c r="J56" i="1"/>
  <c r="J48" i="1"/>
  <c r="J40" i="1"/>
  <c r="J32" i="1"/>
  <c r="J24" i="1"/>
  <c r="J16" i="1"/>
  <c r="J8" i="1"/>
  <c r="J55" i="1"/>
  <c r="J39" i="1"/>
  <c r="J15" i="1"/>
  <c r="J13" i="1"/>
  <c r="J60" i="1"/>
  <c r="J44" i="1"/>
  <c r="J28" i="1"/>
  <c r="J12" i="1"/>
  <c r="J35" i="1"/>
  <c r="J58" i="1"/>
  <c r="J10" i="1"/>
  <c r="J62" i="1"/>
  <c r="J54" i="1"/>
  <c r="J46" i="1"/>
  <c r="J38" i="1"/>
  <c r="J30" i="1"/>
  <c r="J22" i="1"/>
  <c r="J14" i="1"/>
  <c r="J69" i="1"/>
  <c r="J61" i="1"/>
  <c r="J45" i="1"/>
  <c r="J29" i="1"/>
  <c r="J11" i="1"/>
  <c r="J34" i="1"/>
  <c r="O67" i="1" l="1"/>
  <c r="O66" i="1"/>
  <c r="O65" i="1"/>
  <c r="O64" i="1"/>
  <c r="O63" i="1"/>
  <c r="O61" i="1"/>
  <c r="O60" i="1"/>
  <c r="O59" i="1"/>
  <c r="O57" i="1"/>
  <c r="O56" i="1"/>
  <c r="O55" i="1"/>
  <c r="O54" i="1"/>
  <c r="O52" i="1"/>
  <c r="O51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C62" i="1"/>
  <c r="P62" i="1" s="1"/>
  <c r="C58" i="1"/>
  <c r="P58" i="1" s="1"/>
  <c r="C53" i="1"/>
  <c r="P53" i="1" s="1"/>
  <c r="C50" i="1"/>
  <c r="P50" i="1" s="1"/>
  <c r="C35" i="1"/>
  <c r="P35" i="1" s="1"/>
  <c r="C8" i="1"/>
  <c r="P8" i="1" s="1"/>
  <c r="C7" i="1" l="1"/>
  <c r="P7" i="1" s="1"/>
  <c r="I63" i="1" l="1"/>
  <c r="I7" i="1"/>
  <c r="I9" i="1"/>
  <c r="I47" i="1"/>
  <c r="I29" i="1"/>
  <c r="I22" i="1"/>
  <c r="I25" i="1"/>
  <c r="I52" i="1"/>
  <c r="I19" i="1"/>
  <c r="I14" i="1"/>
  <c r="I13" i="1"/>
  <c r="I11" i="1"/>
  <c r="I16" i="1"/>
  <c r="I32" i="1"/>
  <c r="I50" i="1"/>
  <c r="I15" i="1"/>
  <c r="I54" i="1"/>
  <c r="I36" i="1"/>
  <c r="I61" i="1"/>
  <c r="I58" i="1"/>
  <c r="I51" i="1"/>
  <c r="I17" i="1"/>
  <c r="I24" i="1"/>
  <c r="I57" i="1"/>
  <c r="I48" i="1"/>
  <c r="I18" i="1"/>
  <c r="I49" i="1"/>
  <c r="I21" i="1"/>
  <c r="I67" i="1"/>
  <c r="I46" i="1"/>
  <c r="I12" i="1"/>
  <c r="I53" i="1"/>
  <c r="I34" i="1"/>
  <c r="I43" i="1"/>
  <c r="I40" i="1"/>
  <c r="I39" i="1"/>
  <c r="I56" i="1"/>
  <c r="I28" i="1"/>
  <c r="I38" i="1"/>
  <c r="I66" i="1"/>
  <c r="I45" i="1"/>
  <c r="I33" i="1"/>
  <c r="I35" i="1"/>
  <c r="I8" i="1"/>
  <c r="I55" i="1"/>
  <c r="I26" i="1"/>
  <c r="I30" i="1"/>
  <c r="I42" i="1"/>
  <c r="I37" i="1"/>
  <c r="I68" i="1"/>
  <c r="I27" i="1"/>
  <c r="I65" i="1"/>
  <c r="I31" i="1"/>
  <c r="I44" i="1"/>
  <c r="I41" i="1"/>
  <c r="I23" i="1"/>
  <c r="I62" i="1"/>
  <c r="I60" i="1"/>
  <c r="I69" i="1"/>
  <c r="I20" i="1"/>
  <c r="I59" i="1"/>
  <c r="I10" i="1"/>
  <c r="I64" i="1"/>
  <c r="B62" i="1" l="1"/>
  <c r="O62" i="1" s="1"/>
  <c r="B50" i="1"/>
  <c r="O50" i="1" s="1"/>
  <c r="B35" i="1"/>
  <c r="O35" i="1" s="1"/>
  <c r="B8" i="1"/>
  <c r="O8" i="1" s="1"/>
  <c r="B58" i="1"/>
  <c r="O58" i="1" s="1"/>
  <c r="B53" i="1"/>
  <c r="B7" i="1" l="1"/>
  <c r="O53" i="1"/>
  <c r="O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Sharu</author>
  </authors>
  <commentList>
    <comment ref="G37" authorId="0" shapeId="0" xr:uid="{D51D5B6D-8586-4921-B244-D98535DE4759}">
      <text>
        <r>
          <rPr>
            <sz val="9"/>
            <color indexed="81"/>
            <rFont val="Tahoma"/>
            <family val="2"/>
          </rPr>
          <t xml:space="preserve">
Taiwan figures incorporated with Chinese figures under the Government's "</t>
        </r>
        <r>
          <rPr>
            <b/>
            <sz val="9"/>
            <color indexed="81"/>
            <rFont val="Tahoma"/>
            <family val="2"/>
          </rPr>
          <t xml:space="preserve">One China" policy
</t>
        </r>
      </text>
    </comment>
    <comment ref="G47" authorId="0" shapeId="0" xr:uid="{5C4B6BD7-7B2D-4F9E-AE27-7CBE5334F8F4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</commentList>
</comments>
</file>

<file path=xl/sharedStrings.xml><?xml version="1.0" encoding="utf-8"?>
<sst xmlns="http://schemas.openxmlformats.org/spreadsheetml/2006/main" count="216" uniqueCount="145">
  <si>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</si>
  <si>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</si>
  <si>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</si>
  <si>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</si>
  <si>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</si>
  <si>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</si>
  <si>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</si>
  <si>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</si>
  <si>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</si>
  <si>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</si>
  <si>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</si>
  <si>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</si>
  <si>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</si>
  <si>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</si>
  <si>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</si>
  <si>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</si>
  <si>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</si>
  <si>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</si>
  <si>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</si>
  <si>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</si>
  <si>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</si>
  <si>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</si>
  <si>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</si>
  <si>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</si>
  <si>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</si>
  <si>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</si>
  <si>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</si>
  <si>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</si>
  <si>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</si>
  <si>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</si>
  <si>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</si>
  <si>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</si>
  <si>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</si>
  <si>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</si>
  <si>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</si>
  <si>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</si>
  <si>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</si>
  <si>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</si>
  <si>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</si>
  <si>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</si>
  <si>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</si>
  <si>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</si>
  <si>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</si>
  <si>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</si>
  <si>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</si>
  <si>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</si>
  <si>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</si>
  <si>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</si>
  <si>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</si>
  <si>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</si>
  <si>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</si>
  <si>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</si>
  <si>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</si>
  <si>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</si>
  <si>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</si>
  <si>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</si>
  <si>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</si>
  <si>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</si>
  <si>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</si>
  <si>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</si>
  <si>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</si>
  <si>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</si>
  <si>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</si>
  <si>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</si>
  <si>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</si>
  <si>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</si>
  <si>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</si>
  <si>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</si>
  <si>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</si>
  <si>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</si>
  <si>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</si>
  <si>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</si>
  <si>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</si>
  <si>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</si>
  <si>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</si>
  <si>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</si>
  <si>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</si>
  <si>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</si>
  <si>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</si>
  <si>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</si>
  <si>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</si>
  <si>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</si>
  <si>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</si>
  <si>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</si>
  <si>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</si>
  <si>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</si>
  <si>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</si>
  <si>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</si>
  <si>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</si>
  <si>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</si>
  <si>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</si>
  <si>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</si>
  <si>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</si>
  <si>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</si>
  <si>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</si>
  <si>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</si>
  <si>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</si>
  <si>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</si>
  <si>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</si>
  <si>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</si>
  <si>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</si>
  <si>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</si>
  <si>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</si>
  <si>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</si>
  <si>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</si>
  <si>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</si>
  <si>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</si>
  <si>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</si>
  <si>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</si>
  <si>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</si>
  <si>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</si>
  <si>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</si>
  <si>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</si>
  <si>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</si>
  <si>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</si>
  <si>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</si>
  <si>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</si>
  <si>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</si>
  <si>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</si>
  <si>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</si>
  <si>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</si>
  <si>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</si>
  <si>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</si>
  <si>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</si>
  <si>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</si>
  <si>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</si>
  <si>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</si>
  <si>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</si>
  <si>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</si>
  <si>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</si>
  <si>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</si>
  <si>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</si>
  <si>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</si>
  <si>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</si>
  <si>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2020</t>
  </si>
  <si>
    <t>Due to COVIC-19 pandamic, some tourists were unable to travel back to their home country.</t>
  </si>
  <si>
    <t>Note: Maldives border was closed for international visitors on 27th March 2020 due to global COVID-19 outbreak and was re-opened on 15th July 2020</t>
  </si>
  <si>
    <t>(*)</t>
  </si>
  <si>
    <t xml:space="preserve">(*) - Indicates if the percentage change is greater than 100. </t>
  </si>
  <si>
    <t>2021</t>
  </si>
  <si>
    <t>2022</t>
  </si>
  <si>
    <t>2023</t>
  </si>
  <si>
    <t>NA</t>
  </si>
  <si>
    <t>Table 10.1 :   FLOW OF TOURISTS BY NATIONALITY, 2019 -  2023</t>
  </si>
  <si>
    <t>2023 - 2019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</si>
</sst>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b/>
      <sz val="9"/>
      <name val="A_Haleem Rasmee"/>
      <family val="2"/>
      <charset val="2"/>
    </font>
    <font>
      <sz val="9"/>
      <name val="A_Haleem Sameydhaan Rasmee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</borders>
  <cellStyleXfs count="78">
    <xf numFmtId="0" fontId="0" fillId="0" borderId="0"/>
    <xf numFmtId="43" fontId="1" fillId="0" borderId="0" applyFont="0" applyFill="0" applyBorder="0" applyAlignment="0" applyProtection="0"/>
    <xf numFmtId="0" fontId="14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1" fillId="0" borderId="0"/>
    <xf numFmtId="0" fontId="6" fillId="0" borderId="0"/>
    <xf numFmtId="43" fontId="6" fillId="0" borderId="0" applyFont="0" applyFill="0" applyBorder="0" applyAlignment="0" applyProtection="0"/>
    <xf numFmtId="171" fontId="22" fillId="0" borderId="0"/>
    <xf numFmtId="1" fontId="23" fillId="0" borderId="19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  <xf numFmtId="0" fontId="6" fillId="0" borderId="0"/>
    <xf numFmtId="0" fontId="6" fillId="0" borderId="0"/>
    <xf numFmtId="1" fontId="23" fillId="0" borderId="19" applyNumberFormat="0"/>
    <xf numFmtId="0" fontId="1" fillId="0" borderId="0"/>
    <xf numFmtId="0" fontId="14" fillId="0" borderId="0"/>
    <xf numFmtId="0" fontId="27" fillId="0" borderId="0" applyFill="0" applyProtection="0"/>
    <xf numFmtId="1" fontId="23" fillId="0" borderId="19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14" fillId="0" borderId="0"/>
    <xf numFmtId="0" fontId="27" fillId="0" borderId="0" applyFill="0" applyProtection="0"/>
    <xf numFmtId="1" fontId="23" fillId="0" borderId="19" applyNumberFormat="0"/>
    <xf numFmtId="0" fontId="1" fillId="0" borderId="0"/>
    <xf numFmtId="0" fontId="6" fillId="0" borderId="0"/>
    <xf numFmtId="0" fontId="28" fillId="0" borderId="0"/>
    <xf numFmtId="0" fontId="29" fillId="0" borderId="0"/>
    <xf numFmtId="0" fontId="6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30" fillId="0" borderId="0" applyBorder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" fillId="0" borderId="0"/>
    <xf numFmtId="0" fontId="1" fillId="0" borderId="0"/>
    <xf numFmtId="1" fontId="23" fillId="0" borderId="19" applyNumberFormat="0"/>
    <xf numFmtId="1" fontId="23" fillId="0" borderId="19" applyNumberFormat="0"/>
    <xf numFmtId="1" fontId="23" fillId="0" borderId="19" applyNumberFormat="0"/>
    <xf numFmtId="1" fontId="23" fillId="0" borderId="19" applyNumberFormat="0"/>
    <xf numFmtId="1" fontId="23" fillId="0" borderId="19" applyNumberFormat="0"/>
    <xf numFmtId="1" fontId="23" fillId="0" borderId="19" applyNumberFormat="0"/>
    <xf numFmtId="1" fontId="23" fillId="0" borderId="19" applyNumberFormat="0"/>
    <xf numFmtId="0" fontId="1" fillId="0" borderId="0"/>
    <xf numFmtId="0" fontId="1" fillId="0" borderId="0"/>
    <xf numFmtId="0" fontId="30" fillId="0" borderId="0" applyBorder="0"/>
    <xf numFmtId="0" fontId="30" fillId="0" borderId="0"/>
    <xf numFmtId="0" fontId="1" fillId="0" borderId="0"/>
    <xf numFmtId="0" fontId="14" fillId="0" borderId="0"/>
    <xf numFmtId="0" fontId="14" fillId="0" borderId="0"/>
    <xf numFmtId="1" fontId="23" fillId="0" borderId="19" applyNumberFormat="0"/>
  </cellStyleXfs>
  <cellXfs count="83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49" fontId="9" fillId="2" borderId="11" xfId="0" applyNumberFormat="1" applyFont="1" applyFill="1" applyBorder="1" applyAlignment="1">
      <alignment horizontal="right" vertical="center"/>
    </xf>
    <xf numFmtId="49" fontId="9" fillId="2" borderId="12" xfId="0" applyNumberFormat="1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/>
    </xf>
    <xf numFmtId="3" fontId="10" fillId="2" borderId="13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3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166" fontId="12" fillId="2" borderId="14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3" xfId="1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3" xfId="0" applyNumberFormat="1" applyFont="1" applyFill="1" applyBorder="1" applyAlignment="1">
      <alignment vertical="center"/>
    </xf>
    <xf numFmtId="166" fontId="10" fillId="2" borderId="15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3" xfId="1" applyNumberFormat="1" applyFont="1" applyFill="1" applyBorder="1" applyAlignment="1" applyProtection="1">
      <alignment horizontal="right" vertical="center"/>
    </xf>
    <xf numFmtId="166" fontId="12" fillId="2" borderId="16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166" fontId="10" fillId="2" borderId="10" xfId="1" applyNumberFormat="1" applyFont="1" applyFill="1" applyBorder="1" applyAlignment="1" applyProtection="1">
      <alignment horizontal="left" vertical="center"/>
    </xf>
    <xf numFmtId="165" fontId="12" fillId="2" borderId="10" xfId="1" applyNumberFormat="1" applyFont="1" applyFill="1" applyBorder="1" applyAlignment="1">
      <alignment vertical="center"/>
    </xf>
    <xf numFmtId="165" fontId="12" fillId="2" borderId="6" xfId="1" applyNumberFormat="1" applyFont="1" applyFill="1" applyBorder="1" applyAlignment="1">
      <alignment vertical="center"/>
    </xf>
    <xf numFmtId="164" fontId="12" fillId="2" borderId="10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37" fontId="16" fillId="2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5" fillId="2" borderId="3" xfId="0" applyFont="1" applyFill="1" applyBorder="1"/>
    <xf numFmtId="0" fontId="13" fillId="2" borderId="0" xfId="0" applyFont="1" applyFill="1" applyAlignment="1">
      <alignment horizontal="right" vertical="center" indent="2"/>
    </xf>
    <xf numFmtId="0" fontId="11" fillId="2" borderId="0" xfId="0" applyFont="1" applyFill="1" applyAlignment="1">
      <alignment horizontal="right" vertical="center" indent="2"/>
    </xf>
    <xf numFmtId="0" fontId="13" fillId="2" borderId="0" xfId="2" applyFont="1" applyFill="1" applyAlignment="1">
      <alignment horizontal="right" vertical="center" indent="2"/>
    </xf>
    <xf numFmtId="0" fontId="11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indent="3"/>
    </xf>
    <xf numFmtId="0" fontId="26" fillId="2" borderId="0" xfId="23" applyFont="1" applyFill="1" applyAlignment="1">
      <alignment horizontal="left" vertical="center" indent="3"/>
    </xf>
    <xf numFmtId="0" fontId="6" fillId="2" borderId="0" xfId="0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2" fillId="2" borderId="10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1" fillId="2" borderId="1" xfId="0" applyFont="1" applyFill="1" applyBorder="1" applyAlignment="1">
      <alignment horizontal="right" vertical="top" wrapText="1"/>
    </xf>
    <xf numFmtId="0" fontId="31" fillId="2" borderId="0" xfId="0" applyFont="1" applyFill="1" applyAlignment="1">
      <alignment horizontal="right" vertical="center"/>
    </xf>
    <xf numFmtId="0" fontId="31" fillId="2" borderId="10" xfId="0" applyFont="1" applyFill="1" applyBorder="1" applyAlignment="1">
      <alignment vertical="center" wrapText="1"/>
    </xf>
    <xf numFmtId="0" fontId="32" fillId="2" borderId="0" xfId="0" applyFont="1" applyFill="1" applyAlignment="1">
      <alignment horizontal="right" vertical="center"/>
    </xf>
    <xf numFmtId="165" fontId="12" fillId="2" borderId="0" xfId="1" applyNumberFormat="1" applyFont="1" applyFill="1" applyBorder="1" applyAlignment="1">
      <alignment horizontal="right" vertical="center"/>
    </xf>
    <xf numFmtId="0" fontId="0" fillId="2" borderId="13" xfId="0" applyFill="1" applyBorder="1"/>
    <xf numFmtId="0" fontId="6" fillId="2" borderId="20" xfId="0" applyFont="1" applyFill="1" applyBorder="1"/>
    <xf numFmtId="0" fontId="2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vertical="center"/>
    </xf>
  </cellXfs>
  <cellStyles count="78">
    <cellStyle name="1" xfId="7" xr:uid="{00000000-0005-0000-0000-000000000000}"/>
    <cellStyle name="Comma" xfId="1" builtinId="3"/>
    <cellStyle name="Comma 2" xfId="21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8" xr:uid="{00000000-0005-0000-0000-000003000000}"/>
    <cellStyle name="Comma 3 2" xfId="52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18" xfId="67" xr:uid="{C428DA61-20F8-4842-A18B-7FA043B482A4}"/>
    <cellStyle name="Normal 19" xfId="68" xr:uid="{EACCE844-16D2-420C-B840-ACEE6225450A}"/>
    <cellStyle name="Normal 2" xfId="3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2 5 2" xfId="70" xr:uid="{C22BCFAD-F32E-457E-938E-ABEE683A2342}"/>
    <cellStyle name="Normal 2 6" xfId="71" xr:uid="{FEC1E65A-B873-4B1D-8CA3-90C7267B1DBB}"/>
    <cellStyle name="Normal 2 7" xfId="74" xr:uid="{1F813466-FC69-4C83-8E34-944476152EEC}"/>
    <cellStyle name="Normal 20" xfId="69" xr:uid="{6BBCB359-6445-479F-B974-2714BC50CD98}"/>
    <cellStyle name="Normal 21" xfId="75" xr:uid="{ED747AB2-D527-4275-89BF-F4D42E0C64B3}"/>
    <cellStyle name="Normal 22" xfId="76" xr:uid="{8E332121-172D-4CE3-830C-64EBB89E6CB3}"/>
    <cellStyle name="Normal 23" xfId="77" xr:uid="{DB6A6BF5-DDB4-454B-9671-9B4525D9FEF0}"/>
    <cellStyle name="Normal 3" xfId="11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3 6" xfId="72" xr:uid="{147BF9F4-9920-475F-AFAF-1D72BEB5A6F8}"/>
    <cellStyle name="Normal 3 7" xfId="73" xr:uid="{C369A487-A923-4CFF-B26E-A8A707B5AE2D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5" xfId="13" xr:uid="{00000000-0005-0000-0000-00000E000000}"/>
    <cellStyle name="Normal 5 2" xfId="5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8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9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20" xr:uid="{00000000-0005-0000-0000-000012000000}"/>
    <cellStyle name="Normal 8 2" xfId="54" xr:uid="{2C19882A-370B-4CF1-8D87-E650A5A0EE91}"/>
    <cellStyle name="Normal 9" xfId="6" xr:uid="{00000000-0005-0000-0000-000013000000}"/>
    <cellStyle name="Normal_Quick data" xfId="23" xr:uid="{00000000-0005-0000-0000-000015000000}"/>
    <cellStyle name="Normal_TABLE456" xfId="2" xr:uid="{00000000-0005-0000-0000-000017000000}"/>
    <cellStyle name="Percent 2" xfId="14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4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400" baseline="0">
                <a:latin typeface="Consolas" panose="020B0609020204030204" pitchFamily="49" charset="0"/>
                <a:cs typeface="Calibri" panose="020F0502020204030204" pitchFamily="34" charset="0"/>
              </a:rPr>
              <a:t> 2023</a:t>
            </a:r>
            <a:endParaRPr lang="en-US" sz="14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2357080533712429"/>
          <c:y val="5.30541859903507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F6C"/>
            </a:solidFill>
          </c:spPr>
          <c:invertIfNegative val="0"/>
          <c:cat>
            <c:strRef>
              <c:f>'10.1'!$AO$10:$AO$19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China </c:v>
                </c:pt>
                <c:pt idx="3">
                  <c:v>    United Kingdom </c:v>
                </c:pt>
                <c:pt idx="4">
                  <c:v>    Germany </c:v>
                </c:pt>
                <c:pt idx="5">
                  <c:v>    Italy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'10.1'!$AW$10:$AW$19</c:f>
              <c:numCache>
                <c:formatCode>_(* #,##0_);_(* \(#,##0\);_(* "-"??_);_(@_)</c:formatCode>
                <c:ptCount val="10"/>
                <c:pt idx="0">
                  <c:v>209193</c:v>
                </c:pt>
                <c:pt idx="1">
                  <c:v>209146</c:v>
                </c:pt>
                <c:pt idx="2">
                  <c:v>187125</c:v>
                </c:pt>
                <c:pt idx="3">
                  <c:v>155994</c:v>
                </c:pt>
                <c:pt idx="4">
                  <c:v>135091</c:v>
                </c:pt>
                <c:pt idx="5">
                  <c:v>118525</c:v>
                </c:pt>
                <c:pt idx="6">
                  <c:v>74838</c:v>
                </c:pt>
                <c:pt idx="7">
                  <c:v>49201</c:v>
                </c:pt>
                <c:pt idx="8">
                  <c:v>40461</c:v>
                </c:pt>
                <c:pt idx="9">
                  <c:v>37258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1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  <c:max val="250000"/>
        </c:scaling>
        <c:delete val="0"/>
        <c:axPos val="l"/>
        <c:majorGridlines>
          <c:spPr>
            <a:ln>
              <a:solidFill>
                <a:srgbClr val="4FFFFF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EFFFFF"/>
        </a:solidFill>
        <a:ln>
          <a:solidFill>
            <a:schemeClr val="accent5">
              <a:lumMod val="20000"/>
              <a:lumOff val="8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10.2: Top tourist arrival market, 2021 - 2023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7382553568228235"/>
          <c:y val="2.7931551826271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5"/>
          <c:order val="5"/>
          <c:tx>
            <c:strRef>
              <c:f>'10.1'!$AU$9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6F6C"/>
            </a:solidFill>
            <a:ln>
              <a:noFill/>
            </a:ln>
            <a:effectLst/>
          </c:spPr>
          <c:invertIfNegative val="0"/>
          <c:cat>
            <c:strRef>
              <c:f>'10.1'!$AO$10:$AO$19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China </c:v>
                </c:pt>
                <c:pt idx="3">
                  <c:v>    United Kingdom </c:v>
                </c:pt>
                <c:pt idx="4">
                  <c:v>    Germany </c:v>
                </c:pt>
                <c:pt idx="5">
                  <c:v>    Italy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'10.1'!$AU$10:$AU$19</c:f>
              <c:numCache>
                <c:formatCode>_(* #,##0_);_(* \(#,##0\);_(* "-"??_);_(@_)</c:formatCode>
                <c:ptCount val="10"/>
                <c:pt idx="0">
                  <c:v>291787</c:v>
                </c:pt>
                <c:pt idx="1">
                  <c:v>222422</c:v>
                </c:pt>
                <c:pt idx="2">
                  <c:v>2238</c:v>
                </c:pt>
                <c:pt idx="3">
                  <c:v>62777</c:v>
                </c:pt>
                <c:pt idx="4">
                  <c:v>95358</c:v>
                </c:pt>
                <c:pt idx="5">
                  <c:v>27309</c:v>
                </c:pt>
                <c:pt idx="6">
                  <c:v>55760</c:v>
                </c:pt>
                <c:pt idx="7">
                  <c:v>30068</c:v>
                </c:pt>
                <c:pt idx="8">
                  <c:v>37354</c:v>
                </c:pt>
                <c:pt idx="9">
                  <c:v>24951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A7B-8B2B-1D3CC7066D2D}"/>
            </c:ext>
          </c:extLst>
        </c:ser>
        <c:ser>
          <c:idx val="6"/>
          <c:order val="6"/>
          <c:tx>
            <c:strRef>
              <c:f>'10.1'!$AV$9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'10.1'!$AO$10:$AO$19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China </c:v>
                </c:pt>
                <c:pt idx="3">
                  <c:v>    United Kingdom </c:v>
                </c:pt>
                <c:pt idx="4">
                  <c:v>    Germany </c:v>
                </c:pt>
                <c:pt idx="5">
                  <c:v>    Italy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'10.1'!$AV$10:$AV$19</c:f>
              <c:numCache>
                <c:formatCode>_(* #,##0_);_(* \(#,##0\);_(* "-"??_);_(@_)</c:formatCode>
                <c:ptCount val="10"/>
                <c:pt idx="0">
                  <c:v>241382</c:v>
                </c:pt>
                <c:pt idx="1">
                  <c:v>201954</c:v>
                </c:pt>
                <c:pt idx="2">
                  <c:v>12764</c:v>
                </c:pt>
                <c:pt idx="3">
                  <c:v>179309</c:v>
                </c:pt>
                <c:pt idx="4">
                  <c:v>133432</c:v>
                </c:pt>
                <c:pt idx="5">
                  <c:v>97627</c:v>
                </c:pt>
                <c:pt idx="6">
                  <c:v>80697</c:v>
                </c:pt>
                <c:pt idx="7">
                  <c:v>48341</c:v>
                </c:pt>
                <c:pt idx="8">
                  <c:v>42123</c:v>
                </c:pt>
                <c:pt idx="9">
                  <c:v>34614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6-46E1-A7AB-6BA42FB9C616}"/>
            </c:ext>
          </c:extLst>
        </c:ser>
        <c:ser>
          <c:idx val="7"/>
          <c:order val="7"/>
          <c:tx>
            <c:strRef>
              <c:f>'10.1'!$AW$9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DFDA"/>
            </a:solidFill>
            <a:ln>
              <a:noFill/>
            </a:ln>
            <a:effectLst/>
          </c:spPr>
          <c:invertIfNegative val="0"/>
          <c:cat>
            <c:strRef>
              <c:f>'10.1'!$AO$10:$AO$19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China </c:v>
                </c:pt>
                <c:pt idx="3">
                  <c:v>    United Kingdom </c:v>
                </c:pt>
                <c:pt idx="4">
                  <c:v>    Germany </c:v>
                </c:pt>
                <c:pt idx="5">
                  <c:v>    Italy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'10.1'!$AW$10:$AW$19</c:f>
              <c:numCache>
                <c:formatCode>_(* #,##0_);_(* \(#,##0\);_(* "-"??_);_(@_)</c:formatCode>
                <c:ptCount val="10"/>
                <c:pt idx="0">
                  <c:v>209193</c:v>
                </c:pt>
                <c:pt idx="1">
                  <c:v>209146</c:v>
                </c:pt>
                <c:pt idx="2">
                  <c:v>187125</c:v>
                </c:pt>
                <c:pt idx="3">
                  <c:v>155994</c:v>
                </c:pt>
                <c:pt idx="4">
                  <c:v>135091</c:v>
                </c:pt>
                <c:pt idx="5">
                  <c:v>118525</c:v>
                </c:pt>
                <c:pt idx="6">
                  <c:v>74838</c:v>
                </c:pt>
                <c:pt idx="7">
                  <c:v>49201</c:v>
                </c:pt>
                <c:pt idx="8">
                  <c:v>40461</c:v>
                </c:pt>
                <c:pt idx="9">
                  <c:v>37258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2-4AED-824C-DA303500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'10.1'!$AP$9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'10.1'!$AO$10:$AO$19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China </c:v>
                      </c:pt>
                      <c:pt idx="3">
                        <c:v>    United Kingdom </c:v>
                      </c:pt>
                      <c:pt idx="4">
                        <c:v>    Germany </c:v>
                      </c:pt>
                      <c:pt idx="5">
                        <c:v>    Italy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'10.1'!$AP$10:$AP$19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66955</c:v>
                      </c:pt>
                      <c:pt idx="1">
                        <c:v>46522</c:v>
                      </c:pt>
                      <c:pt idx="2">
                        <c:v>324326</c:v>
                      </c:pt>
                      <c:pt idx="3">
                        <c:v>101843</c:v>
                      </c:pt>
                      <c:pt idx="4">
                        <c:v>106381</c:v>
                      </c:pt>
                      <c:pt idx="5">
                        <c:v>71202</c:v>
                      </c:pt>
                      <c:pt idx="6">
                        <c:v>32589</c:v>
                      </c:pt>
                      <c:pt idx="7">
                        <c:v>40487</c:v>
                      </c:pt>
                      <c:pt idx="8">
                        <c:v>23393</c:v>
                      </c:pt>
                      <c:pt idx="9">
                        <c:v>31678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43-47F8-8B5E-FBAEA9601FA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'10.1'!$AQ$9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'10.1'!$AO$10:$AO$19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China </c:v>
                      </c:pt>
                      <c:pt idx="3">
                        <c:v>    United Kingdom </c:v>
                      </c:pt>
                      <c:pt idx="4">
                        <c:v>    Germany </c:v>
                      </c:pt>
                      <c:pt idx="5">
                        <c:v>    Italy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'10.1'!$AQ$10:$AQ$19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83019</c:v>
                      </c:pt>
                      <c:pt idx="1">
                        <c:v>61931</c:v>
                      </c:pt>
                      <c:pt idx="2">
                        <c:v>306530</c:v>
                      </c:pt>
                      <c:pt idx="3">
                        <c:v>103977</c:v>
                      </c:pt>
                      <c:pt idx="4">
                        <c:v>112109</c:v>
                      </c:pt>
                      <c:pt idx="5">
                        <c:v>88848</c:v>
                      </c:pt>
                      <c:pt idx="6">
                        <c:v>39180</c:v>
                      </c:pt>
                      <c:pt idx="7">
                        <c:v>42365</c:v>
                      </c:pt>
                      <c:pt idx="8">
                        <c:v>25843</c:v>
                      </c:pt>
                      <c:pt idx="9">
                        <c:v>32651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43-47F8-8B5E-FBAEA9601FA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'10.1'!$AR$9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'10.1'!$AO$10:$AO$19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China </c:v>
                      </c:pt>
                      <c:pt idx="3">
                        <c:v>    United Kingdom </c:v>
                      </c:pt>
                      <c:pt idx="4">
                        <c:v>    Germany </c:v>
                      </c:pt>
                      <c:pt idx="5">
                        <c:v>    Italy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'10.1'!$AR$10:$AR$19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90474</c:v>
                      </c:pt>
                      <c:pt idx="1">
                        <c:v>70935</c:v>
                      </c:pt>
                      <c:pt idx="2">
                        <c:v>283116</c:v>
                      </c:pt>
                      <c:pt idx="3">
                        <c:v>114602</c:v>
                      </c:pt>
                      <c:pt idx="4">
                        <c:v>117532</c:v>
                      </c:pt>
                      <c:pt idx="5">
                        <c:v>105297</c:v>
                      </c:pt>
                      <c:pt idx="6">
                        <c:v>42901</c:v>
                      </c:pt>
                      <c:pt idx="7">
                        <c:v>50476</c:v>
                      </c:pt>
                      <c:pt idx="8">
                        <c:v>31780</c:v>
                      </c:pt>
                      <c:pt idx="9">
                        <c:v>32984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43-47F8-8B5E-FBAEA9601FA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'10.1'!$AS$9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'10.1'!$AO$10:$AO$19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China </c:v>
                      </c:pt>
                      <c:pt idx="3">
                        <c:v>    United Kingdom </c:v>
                      </c:pt>
                      <c:pt idx="4">
                        <c:v>    Germany </c:v>
                      </c:pt>
                      <c:pt idx="5">
                        <c:v>    Italy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'10.1'!$AS$10:$AS$19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166030</c:v>
                      </c:pt>
                      <c:pt idx="1">
                        <c:v>83369</c:v>
                      </c:pt>
                      <c:pt idx="2">
                        <c:v>284029</c:v>
                      </c:pt>
                      <c:pt idx="3">
                        <c:v>126199</c:v>
                      </c:pt>
                      <c:pt idx="4">
                        <c:v>131561</c:v>
                      </c:pt>
                      <c:pt idx="5">
                        <c:v>136343</c:v>
                      </c:pt>
                      <c:pt idx="6">
                        <c:v>54474</c:v>
                      </c:pt>
                      <c:pt idx="7">
                        <c:v>59738</c:v>
                      </c:pt>
                      <c:pt idx="8">
                        <c:v>36064</c:v>
                      </c:pt>
                      <c:pt idx="9">
                        <c:v>33829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43-47F8-8B5E-FBAEA9601FA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'10.1'!$AT$9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'10.1'!$AO$10:$AO$19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China </c:v>
                      </c:pt>
                      <c:pt idx="3">
                        <c:v>    United Kingdom </c:v>
                      </c:pt>
                      <c:pt idx="4">
                        <c:v>    Germany </c:v>
                      </c:pt>
                      <c:pt idx="5">
                        <c:v>    Italy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'10.1'!$AT$10:$AT$19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62960</c:v>
                      </c:pt>
                      <c:pt idx="1">
                        <c:v>61387</c:v>
                      </c:pt>
                      <c:pt idx="2">
                        <c:v>34245</c:v>
                      </c:pt>
                      <c:pt idx="3">
                        <c:v>52720</c:v>
                      </c:pt>
                      <c:pt idx="4">
                        <c:v>36435</c:v>
                      </c:pt>
                      <c:pt idx="5">
                        <c:v>46690</c:v>
                      </c:pt>
                      <c:pt idx="6">
                        <c:v>19759</c:v>
                      </c:pt>
                      <c:pt idx="7">
                        <c:v>28031</c:v>
                      </c:pt>
                      <c:pt idx="8">
                        <c:v>6778</c:v>
                      </c:pt>
                      <c:pt idx="9">
                        <c:v>12517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92E-45A9-9008-299CEE489B07}"/>
                  </c:ext>
                </c:extLst>
              </c15:ser>
            </c15:filteredBarSeries>
          </c:ext>
        </c:extLst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EFFFFF"/>
        </a:solidFill>
        <a:ln>
          <a:solidFill>
            <a:schemeClr val="accent5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047188843148277"/>
          <c:y val="0.14264551947439991"/>
          <c:w val="0.23177407241751644"/>
          <c:h val="6.2327570331604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539283</xdr:colOff>
      <xdr:row>74</xdr:row>
      <xdr:rowOff>7004</xdr:rowOff>
    </xdr:from>
    <xdr:to>
      <xdr:col>17</xdr:col>
      <xdr:colOff>260804</xdr:colOff>
      <xdr:row>93</xdr:row>
      <xdr:rowOff>69807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542586</xdr:colOff>
      <xdr:row>93</xdr:row>
      <xdr:rowOff>174586</xdr:rowOff>
    </xdr:from>
    <xdr:to>
      <xdr:col>17</xdr:col>
      <xdr:colOff>272143</xdr:colOff>
      <xdr:row>118</xdr:row>
      <xdr:rowOff>43699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81"/>
  <sheetViews>
    <sheetView tabSelected="1" zoomScale="148" zoomScaleNormal="148" workbookViewId="0">
      <selection activeCell="A2" sqref="A2:T2"/>
    </sheetView>
  </sheetViews>
  <sheetFormatPr defaultColWidth="9.140625" defaultRowHeight="15"/>
  <cols>
    <col min="1" max="1" width="21" style="2" customWidth="1"/>
    <col min="2" max="2" width="9.42578125" style="2" hidden="1" customWidth="1"/>
    <col min="3" max="6" width="10.140625" style="2" customWidth="1"/>
    <col min="7" max="7" width="10" style="2" customWidth="1"/>
    <col min="8" max="8" width="1.28515625" style="2" customWidth="1"/>
    <col min="9" max="11" width="7.140625" style="5" customWidth="1"/>
    <col min="12" max="13" width="8.140625" style="5" customWidth="1"/>
    <col min="14" max="14" width="1.42578125" style="5" customWidth="1"/>
    <col min="15" max="19" width="7.140625" style="5" customWidth="1"/>
    <col min="20" max="20" width="23" style="2" customWidth="1"/>
    <col min="21" max="21" width="1.42578125" style="2" customWidth="1"/>
    <col min="22" max="23" width="9.140625" style="2"/>
    <col min="24" max="24" width="16.85546875" style="2" customWidth="1"/>
    <col min="25" max="32" width="31.28515625" style="2" customWidth="1"/>
    <col min="33" max="36" width="8.140625" style="2" customWidth="1"/>
    <col min="37" max="37" width="15.5703125" style="2" customWidth="1"/>
    <col min="38" max="40" width="8.140625" style="2" customWidth="1"/>
    <col min="41" max="41" width="10" style="2" customWidth="1"/>
    <col min="42" max="46" width="9.85546875" style="2" customWidth="1"/>
    <col min="47" max="47" width="9.85546875" style="50" customWidth="1"/>
    <col min="48" max="49" width="9.85546875" style="2" customWidth="1"/>
    <col min="50" max="16384" width="9.140625" style="2"/>
  </cols>
  <sheetData>
    <row r="1" spans="1:55" s="1" customFormat="1" ht="15.75" customHeight="1">
      <c r="A1" s="68" t="s">
        <v>144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AU1" s="49"/>
    </row>
    <row r="2" spans="1:55" ht="15.75" customHeight="1">
      <c r="A2" s="69" t="s">
        <v>143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55" ht="7.5" customHeight="1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/>
    </row>
    <row r="4" spans="1:55" ht="25.5" customHeight="1">
      <c r="A4" s="70" t="s">
        <v>0</v>
      </c>
      <c r="B4" s="82"/>
      <c r="C4" s="81" t="s">
        <v>1</v>
      </c>
      <c r="D4" s="81"/>
      <c r="E4" s="81"/>
      <c r="F4" s="81"/>
      <c r="G4" s="81"/>
      <c r="H4" s="44"/>
      <c r="I4" s="77" t="s">
        <v>2</v>
      </c>
      <c r="J4" s="78"/>
      <c r="K4" s="78"/>
      <c r="L4" s="78"/>
      <c r="M4" s="78"/>
      <c r="N4" s="6"/>
      <c r="O4" s="75" t="s">
        <v>3</v>
      </c>
      <c r="P4" s="76"/>
      <c r="Q4" s="76"/>
      <c r="R4" s="76"/>
      <c r="S4" s="76"/>
      <c r="T4" s="61" t="s">
        <v>4</v>
      </c>
    </row>
    <row r="5" spans="1:55" ht="13.5" customHeight="1">
      <c r="A5" s="71"/>
      <c r="B5" s="7"/>
      <c r="C5" s="80" t="s">
        <v>5</v>
      </c>
      <c r="D5" s="80"/>
      <c r="E5" s="80"/>
      <c r="F5" s="80"/>
      <c r="G5" s="80"/>
      <c r="H5" s="66"/>
      <c r="I5" s="79" t="s">
        <v>6</v>
      </c>
      <c r="J5" s="80"/>
      <c r="K5" s="80"/>
      <c r="L5" s="80"/>
      <c r="M5" s="80"/>
      <c r="N5" s="67"/>
      <c r="O5" s="73" t="s">
        <v>7</v>
      </c>
      <c r="P5" s="74"/>
      <c r="Q5" s="74"/>
      <c r="R5" s="74"/>
      <c r="S5" s="74"/>
      <c r="T5" s="62" t="s">
        <v>8</v>
      </c>
    </row>
    <row r="6" spans="1:55" s="13" customFormat="1" ht="15" customHeight="1">
      <c r="A6" s="72"/>
      <c r="B6" s="8" t="s">
        <v>9</v>
      </c>
      <c r="C6" s="8" t="s">
        <v>133</v>
      </c>
      <c r="D6" s="8" t="s">
        <v>134</v>
      </c>
      <c r="E6" s="8" t="s">
        <v>139</v>
      </c>
      <c r="F6" s="8" t="s">
        <v>140</v>
      </c>
      <c r="G6" s="8" t="s">
        <v>141</v>
      </c>
      <c r="H6" s="9"/>
      <c r="I6" s="10">
        <v>2019</v>
      </c>
      <c r="J6" s="10">
        <v>2020</v>
      </c>
      <c r="K6" s="10">
        <v>2021</v>
      </c>
      <c r="L6" s="10">
        <v>2022</v>
      </c>
      <c r="M6" s="10">
        <v>2023</v>
      </c>
      <c r="N6" s="11"/>
      <c r="O6" s="12">
        <v>2019</v>
      </c>
      <c r="P6" s="12">
        <v>2020</v>
      </c>
      <c r="Q6" s="12">
        <v>2021</v>
      </c>
      <c r="R6" s="12">
        <v>2022</v>
      </c>
      <c r="S6" s="12">
        <v>2023</v>
      </c>
      <c r="T6" s="63"/>
      <c r="AU6" s="51"/>
    </row>
    <row r="7" spans="1:55" s="13" customFormat="1" ht="18" customHeight="1">
      <c r="A7" s="14" t="s">
        <v>10</v>
      </c>
      <c r="B7" s="15">
        <f t="shared" ref="B7:D7" si="0">B8+B35+B50+B53+B58+B62+B68+B69</f>
        <v>1484274</v>
      </c>
      <c r="C7" s="15">
        <f t="shared" si="0"/>
        <v>1702887</v>
      </c>
      <c r="D7" s="15">
        <f t="shared" si="0"/>
        <v>555494</v>
      </c>
      <c r="E7" s="15">
        <f t="shared" ref="E7:F7" si="1">E8+E35+E50+E53+E58+E62+E68+E69</f>
        <v>1321937</v>
      </c>
      <c r="F7" s="15">
        <f t="shared" si="1"/>
        <v>1675303</v>
      </c>
      <c r="G7" s="15">
        <f t="shared" ref="G7" si="2">G8+G35+G50+G53+G58+G62+G68+G69</f>
        <v>1878543</v>
      </c>
      <c r="H7" s="16"/>
      <c r="I7" s="15">
        <f>C7/C$7*100</f>
        <v>100</v>
      </c>
      <c r="J7" s="15">
        <f>D7/D$7*100</f>
        <v>100</v>
      </c>
      <c r="K7" s="15">
        <f>E7/E$7*100</f>
        <v>100</v>
      </c>
      <c r="L7" s="15">
        <f>F7/F$7*100</f>
        <v>100</v>
      </c>
      <c r="M7" s="15">
        <f>G7/G$7*100</f>
        <v>100</v>
      </c>
      <c r="N7" s="16"/>
      <c r="O7" s="17">
        <f>(C7-B7)/B7*100</f>
        <v>14.728614797537382</v>
      </c>
      <c r="P7" s="17">
        <f>(D7-C7)/C7*100</f>
        <v>-67.379280010946118</v>
      </c>
      <c r="Q7" s="60" t="s">
        <v>137</v>
      </c>
      <c r="R7" s="58">
        <f>(F7-E7)/E7*100</f>
        <v>26.73092590645394</v>
      </c>
      <c r="S7" s="58">
        <f>(G7-F7)/F7*100</f>
        <v>12.131536802596306</v>
      </c>
      <c r="T7" s="18" t="s">
        <v>11</v>
      </c>
      <c r="U7" s="19"/>
      <c r="AU7" s="51"/>
    </row>
    <row r="8" spans="1:55" s="13" customFormat="1" ht="18" customHeight="1">
      <c r="A8" s="14" t="s">
        <v>12</v>
      </c>
      <c r="B8" s="15">
        <f t="shared" ref="B8:D8" si="3">SUM(B9:B34)</f>
        <v>726420</v>
      </c>
      <c r="C8" s="15">
        <f t="shared" si="3"/>
        <v>833939</v>
      </c>
      <c r="D8" s="15">
        <f t="shared" si="3"/>
        <v>348349</v>
      </c>
      <c r="E8" s="15">
        <f t="shared" ref="E8:F8" si="4">SUM(E9:E34)</f>
        <v>772460</v>
      </c>
      <c r="F8" s="15">
        <f t="shared" si="4"/>
        <v>1022725</v>
      </c>
      <c r="G8" s="15">
        <f t="shared" ref="G8" si="5">SUM(G9:G34)</f>
        <v>1054709</v>
      </c>
      <c r="H8" s="16"/>
      <c r="I8" s="17">
        <f t="shared" ref="I8:I39" si="6">C8/C$7*100</f>
        <v>48.972069197780002</v>
      </c>
      <c r="J8" s="17">
        <f t="shared" ref="J8:J39" si="7">D8/D$7*100</f>
        <v>62.709768242321253</v>
      </c>
      <c r="K8" s="17">
        <f t="shared" ref="K8:M39" si="8">E8/E$7*100</f>
        <v>58.433949575509267</v>
      </c>
      <c r="L8" s="17">
        <f t="shared" si="8"/>
        <v>61.04716579627685</v>
      </c>
      <c r="M8" s="17">
        <f t="shared" si="8"/>
        <v>56.145054970793851</v>
      </c>
      <c r="N8" s="20"/>
      <c r="O8" s="17">
        <f t="shared" ref="O8:O39" si="9">(C8-B8)/B8*100</f>
        <v>14.801216926846728</v>
      </c>
      <c r="P8" s="17">
        <f t="shared" ref="P8:P39" si="10">(D8-C8)/C8*100</f>
        <v>-58.228479541069554</v>
      </c>
      <c r="Q8" s="60" t="s">
        <v>137</v>
      </c>
      <c r="R8" s="58">
        <f t="shared" ref="R8:S69" si="11">(F8-E8)/E8*100</f>
        <v>32.398441343241075</v>
      </c>
      <c r="S8" s="58">
        <f t="shared" si="11"/>
        <v>3.1273313940697647</v>
      </c>
      <c r="T8" s="21" t="s">
        <v>13</v>
      </c>
    </row>
    <row r="9" spans="1:55" ht="17.25" customHeight="1">
      <c r="A9" s="22" t="s">
        <v>14</v>
      </c>
      <c r="B9" s="23">
        <v>20391</v>
      </c>
      <c r="C9" s="23">
        <v>21839</v>
      </c>
      <c r="D9" s="23">
        <v>8103</v>
      </c>
      <c r="E9" s="23">
        <v>17128</v>
      </c>
      <c r="F9" s="23">
        <v>25056</v>
      </c>
      <c r="G9" s="23">
        <v>24930</v>
      </c>
      <c r="H9" s="24"/>
      <c r="I9" s="25">
        <f t="shared" si="6"/>
        <v>1.2824691244926998</v>
      </c>
      <c r="J9" s="25">
        <f t="shared" si="7"/>
        <v>1.4587016241399549</v>
      </c>
      <c r="K9" s="25">
        <f t="shared" si="8"/>
        <v>1.2956744534724423</v>
      </c>
      <c r="L9" s="25">
        <f t="shared" si="8"/>
        <v>1.49561004785403</v>
      </c>
      <c r="M9" s="25">
        <f t="shared" si="8"/>
        <v>1.3270923263401477</v>
      </c>
      <c r="N9" s="26"/>
      <c r="O9" s="25">
        <f t="shared" si="9"/>
        <v>7.1011720857240945</v>
      </c>
      <c r="P9" s="25">
        <f t="shared" si="10"/>
        <v>-62.896652777141817</v>
      </c>
      <c r="Q9" s="56" t="s">
        <v>137</v>
      </c>
      <c r="R9" s="57">
        <f t="shared" si="11"/>
        <v>46.286781877627277</v>
      </c>
      <c r="S9" s="57">
        <f t="shared" si="11"/>
        <v>-0.50287356321839083</v>
      </c>
      <c r="T9" s="45" t="s">
        <v>15</v>
      </c>
      <c r="AP9" s="13">
        <v>2016</v>
      </c>
      <c r="AQ9" s="13">
        <v>2017</v>
      </c>
      <c r="AR9" s="13">
        <v>2018</v>
      </c>
      <c r="AS9" s="13">
        <v>2019</v>
      </c>
      <c r="AT9" s="13">
        <v>2020</v>
      </c>
      <c r="AU9" s="13">
        <v>2021</v>
      </c>
      <c r="AV9" s="13">
        <v>2022</v>
      </c>
      <c r="AW9" s="13">
        <v>2023</v>
      </c>
      <c r="BC9" s="13"/>
    </row>
    <row r="10" spans="1:55" ht="17.25" customHeight="1">
      <c r="A10" s="22" t="s">
        <v>16</v>
      </c>
      <c r="B10" s="23">
        <v>6492</v>
      </c>
      <c r="C10" s="23">
        <v>7305</v>
      </c>
      <c r="D10" s="23">
        <v>2921</v>
      </c>
      <c r="E10" s="23">
        <v>4844</v>
      </c>
      <c r="F10" s="23">
        <v>6745</v>
      </c>
      <c r="G10" s="23">
        <v>6881</v>
      </c>
      <c r="H10" s="24"/>
      <c r="I10" s="25">
        <f t="shared" si="6"/>
        <v>0.42897737782953305</v>
      </c>
      <c r="J10" s="25">
        <f t="shared" si="7"/>
        <v>0.52583826287952706</v>
      </c>
      <c r="K10" s="25">
        <f t="shared" si="8"/>
        <v>0.36643198579054831</v>
      </c>
      <c r="L10" s="25">
        <f t="shared" si="8"/>
        <v>0.40261373614205903</v>
      </c>
      <c r="M10" s="25">
        <f t="shared" si="8"/>
        <v>0.36629451654819717</v>
      </c>
      <c r="N10" s="26"/>
      <c r="O10" s="25">
        <f t="shared" si="9"/>
        <v>12.523105360443623</v>
      </c>
      <c r="P10" s="25">
        <f t="shared" si="10"/>
        <v>-60.013689253935667</v>
      </c>
      <c r="Q10" s="57">
        <f t="shared" ref="Q10:Q39" si="12">(E10-D10)/D10*100</f>
        <v>65.83361862375898</v>
      </c>
      <c r="R10" s="57">
        <f t="shared" si="11"/>
        <v>39.244426094137076</v>
      </c>
      <c r="S10" s="57">
        <f t="shared" si="11"/>
        <v>2.0163083765752408</v>
      </c>
      <c r="T10" s="45" t="s">
        <v>17</v>
      </c>
      <c r="V10" s="13"/>
      <c r="AN10" s="13">
        <v>1</v>
      </c>
      <c r="AO10" s="22" t="s">
        <v>72</v>
      </c>
      <c r="AP10" s="22">
        <v>66955</v>
      </c>
      <c r="AQ10" s="22">
        <v>83019</v>
      </c>
      <c r="AR10" s="22">
        <v>90474</v>
      </c>
      <c r="AS10" s="22">
        <v>166030</v>
      </c>
      <c r="AT10" s="22">
        <v>62960</v>
      </c>
      <c r="AU10" s="22">
        <v>291787</v>
      </c>
      <c r="AV10" s="22">
        <v>241382</v>
      </c>
      <c r="AW10" s="22">
        <v>209193</v>
      </c>
      <c r="AY10" s="13"/>
      <c r="AZ10" s="13"/>
      <c r="BA10" s="13"/>
      <c r="BC10" s="13"/>
    </row>
    <row r="11" spans="1:55" ht="17.25" customHeight="1">
      <c r="A11" s="22" t="s">
        <v>18</v>
      </c>
      <c r="B11" s="23">
        <v>13229</v>
      </c>
      <c r="C11" s="23">
        <v>13423</v>
      </c>
      <c r="D11" s="23">
        <v>7282</v>
      </c>
      <c r="E11" s="23">
        <v>18692</v>
      </c>
      <c r="F11" s="23">
        <v>17308</v>
      </c>
      <c r="G11" s="23">
        <v>21729</v>
      </c>
      <c r="H11" s="24"/>
      <c r="I11" s="25">
        <f t="shared" si="6"/>
        <v>0.78824960199942795</v>
      </c>
      <c r="J11" s="25">
        <f t="shared" si="7"/>
        <v>1.3109052483015118</v>
      </c>
      <c r="K11" s="25">
        <f t="shared" si="8"/>
        <v>1.4139856891818596</v>
      </c>
      <c r="L11" s="25">
        <f t="shared" si="8"/>
        <v>1.0331265448697937</v>
      </c>
      <c r="M11" s="25">
        <f t="shared" si="8"/>
        <v>1.1566943104310095</v>
      </c>
      <c r="N11" s="26"/>
      <c r="O11" s="25">
        <f t="shared" si="9"/>
        <v>1.4664751681910952</v>
      </c>
      <c r="P11" s="25">
        <f t="shared" si="10"/>
        <v>-45.749832377262905</v>
      </c>
      <c r="Q11" s="56" t="s">
        <v>137</v>
      </c>
      <c r="R11" s="57">
        <f t="shared" si="11"/>
        <v>-7.4042371067836505</v>
      </c>
      <c r="S11" s="57">
        <f t="shared" si="11"/>
        <v>25.543101455974117</v>
      </c>
      <c r="T11" s="45" t="s">
        <v>19</v>
      </c>
      <c r="AN11" s="2">
        <v>2</v>
      </c>
      <c r="AO11" s="22" t="s">
        <v>46</v>
      </c>
      <c r="AP11" s="22">
        <v>46522</v>
      </c>
      <c r="AQ11" s="22">
        <v>61931</v>
      </c>
      <c r="AR11" s="22">
        <v>70935</v>
      </c>
      <c r="AS11" s="22">
        <v>83369</v>
      </c>
      <c r="AT11" s="22">
        <v>61387</v>
      </c>
      <c r="AU11" s="22">
        <v>222422</v>
      </c>
      <c r="AV11" s="22">
        <v>201954</v>
      </c>
      <c r="AW11" s="22">
        <v>209146</v>
      </c>
      <c r="BC11" s="13"/>
    </row>
    <row r="12" spans="1:55" ht="17.25" customHeight="1">
      <c r="A12" s="22" t="s">
        <v>20</v>
      </c>
      <c r="B12" s="23">
        <v>11133</v>
      </c>
      <c r="C12" s="23">
        <v>10621</v>
      </c>
      <c r="D12" s="23">
        <v>3938</v>
      </c>
      <c r="E12" s="23">
        <v>6106</v>
      </c>
      <c r="F12" s="23">
        <v>13344</v>
      </c>
      <c r="G12" s="23">
        <v>10010</v>
      </c>
      <c r="H12" s="24"/>
      <c r="I12" s="25">
        <f t="shared" si="6"/>
        <v>0.62370550717692952</v>
      </c>
      <c r="J12" s="25">
        <f t="shared" si="7"/>
        <v>0.70891854817513777</v>
      </c>
      <c r="K12" s="25">
        <f t="shared" si="8"/>
        <v>0.4618979573156663</v>
      </c>
      <c r="L12" s="25">
        <f t="shared" si="8"/>
        <v>0.79651263084946422</v>
      </c>
      <c r="M12" s="25">
        <f t="shared" si="8"/>
        <v>0.53285977483613634</v>
      </c>
      <c r="N12" s="26"/>
      <c r="O12" s="25">
        <f t="shared" si="9"/>
        <v>-4.5989400880265876</v>
      </c>
      <c r="P12" s="25">
        <f t="shared" si="10"/>
        <v>-62.922512004519348</v>
      </c>
      <c r="Q12" s="57">
        <f t="shared" si="12"/>
        <v>55.053326561706449</v>
      </c>
      <c r="R12" s="56" t="s">
        <v>137</v>
      </c>
      <c r="S12" s="57">
        <f t="shared" si="11"/>
        <v>-24.985011990407674</v>
      </c>
      <c r="T12" s="45" t="s">
        <v>21</v>
      </c>
      <c r="W12" s="5"/>
      <c r="X12" s="41"/>
      <c r="AG12" s="41"/>
      <c r="AH12" s="41"/>
      <c r="AI12" s="41"/>
      <c r="AJ12" s="41"/>
      <c r="AK12" s="52"/>
      <c r="AM12" s="5"/>
      <c r="AN12" s="13">
        <v>3</v>
      </c>
      <c r="AO12" s="22" t="s">
        <v>70</v>
      </c>
      <c r="AP12" s="22">
        <v>324326</v>
      </c>
      <c r="AQ12" s="22">
        <v>306530</v>
      </c>
      <c r="AR12" s="22">
        <v>283116</v>
      </c>
      <c r="AS12" s="22">
        <v>284029</v>
      </c>
      <c r="AT12" s="22">
        <v>34245</v>
      </c>
      <c r="AU12" s="22">
        <v>2238</v>
      </c>
      <c r="AV12" s="22">
        <v>12764</v>
      </c>
      <c r="AW12" s="22">
        <v>187125</v>
      </c>
      <c r="AY12" s="13"/>
      <c r="AZ12" s="13"/>
      <c r="BA12" s="13"/>
      <c r="BC12" s="13"/>
    </row>
    <row r="13" spans="1:55" ht="17.25" customHeight="1">
      <c r="A13" s="22" t="s">
        <v>22</v>
      </c>
      <c r="B13" s="23">
        <v>5682</v>
      </c>
      <c r="C13" s="23">
        <v>5315</v>
      </c>
      <c r="D13" s="23">
        <v>2128</v>
      </c>
      <c r="E13" s="23">
        <v>1724</v>
      </c>
      <c r="F13" s="23">
        <v>3126</v>
      </c>
      <c r="G13" s="23">
        <v>3632</v>
      </c>
      <c r="H13" s="24"/>
      <c r="I13" s="25">
        <f t="shared" si="6"/>
        <v>0.31211701070006403</v>
      </c>
      <c r="J13" s="25">
        <f t="shared" si="7"/>
        <v>0.38308244553496523</v>
      </c>
      <c r="K13" s="25">
        <f t="shared" si="8"/>
        <v>0.13041468693288713</v>
      </c>
      <c r="L13" s="25">
        <f t="shared" si="8"/>
        <v>0.18659311181320634</v>
      </c>
      <c r="M13" s="25">
        <f t="shared" si="8"/>
        <v>0.19334132889159311</v>
      </c>
      <c r="N13" s="26"/>
      <c r="O13" s="25">
        <f t="shared" si="9"/>
        <v>-6.4589933122140089</v>
      </c>
      <c r="P13" s="25">
        <f t="shared" si="10"/>
        <v>-59.962370649106298</v>
      </c>
      <c r="Q13" s="57">
        <f t="shared" si="12"/>
        <v>-18.984962406015036</v>
      </c>
      <c r="R13" s="57">
        <f t="shared" si="11"/>
        <v>81.322505800464043</v>
      </c>
      <c r="S13" s="57">
        <f t="shared" si="11"/>
        <v>16.186820217530389</v>
      </c>
      <c r="T13" s="45" t="s">
        <v>23</v>
      </c>
      <c r="AN13" s="13">
        <v>4</v>
      </c>
      <c r="AO13" s="22" t="s">
        <v>62</v>
      </c>
      <c r="AP13" s="22">
        <v>101843</v>
      </c>
      <c r="AQ13" s="22">
        <v>103977</v>
      </c>
      <c r="AR13" s="22">
        <v>114602</v>
      </c>
      <c r="AS13" s="22">
        <v>126199</v>
      </c>
      <c r="AT13" s="22">
        <v>52720</v>
      </c>
      <c r="AU13" s="22">
        <v>62777</v>
      </c>
      <c r="AV13" s="22">
        <v>179309</v>
      </c>
      <c r="AW13" s="22">
        <v>155994</v>
      </c>
      <c r="BC13" s="13"/>
    </row>
    <row r="14" spans="1:55" ht="18" customHeight="1">
      <c r="A14" s="22" t="s">
        <v>24</v>
      </c>
      <c r="B14" s="23">
        <v>50476</v>
      </c>
      <c r="C14" s="23">
        <v>59738</v>
      </c>
      <c r="D14" s="23">
        <v>28031</v>
      </c>
      <c r="E14" s="23">
        <v>30068</v>
      </c>
      <c r="F14" s="23">
        <v>48341</v>
      </c>
      <c r="G14" s="23">
        <v>49201</v>
      </c>
      <c r="H14" s="24"/>
      <c r="I14" s="25">
        <f t="shared" si="6"/>
        <v>3.5080425183820179</v>
      </c>
      <c r="J14" s="25">
        <f t="shared" si="7"/>
        <v>5.0461391122136332</v>
      </c>
      <c r="K14" s="25">
        <f t="shared" si="8"/>
        <v>2.2745410711705625</v>
      </c>
      <c r="L14" s="25">
        <f t="shared" si="8"/>
        <v>2.8855078752918129</v>
      </c>
      <c r="M14" s="25">
        <f t="shared" si="8"/>
        <v>2.6191042738973769</v>
      </c>
      <c r="N14" s="26"/>
      <c r="O14" s="25">
        <f t="shared" si="9"/>
        <v>18.34931452571519</v>
      </c>
      <c r="P14" s="25">
        <f t="shared" si="10"/>
        <v>-53.076768556027986</v>
      </c>
      <c r="Q14" s="57">
        <f t="shared" si="12"/>
        <v>7.2669544432949236</v>
      </c>
      <c r="R14" s="57">
        <f t="shared" si="11"/>
        <v>60.772249567646661</v>
      </c>
      <c r="S14" s="57">
        <f t="shared" si="11"/>
        <v>1.7790281541548583</v>
      </c>
      <c r="T14" s="45" t="s">
        <v>25</v>
      </c>
      <c r="W14" s="43"/>
      <c r="X14" s="5"/>
      <c r="Y14" s="42"/>
      <c r="Z14" s="42"/>
      <c r="AA14" s="42"/>
      <c r="AB14" s="42"/>
      <c r="AC14" s="42"/>
      <c r="AD14" s="42"/>
      <c r="AE14" s="42"/>
      <c r="AF14" s="42"/>
      <c r="AH14" s="42"/>
      <c r="AI14" s="42"/>
      <c r="AJ14" s="42"/>
      <c r="AK14" s="42"/>
      <c r="AM14" s="43"/>
      <c r="AN14" s="2">
        <v>5</v>
      </c>
      <c r="AO14" s="22" t="s">
        <v>26</v>
      </c>
      <c r="AP14" s="22">
        <v>106381</v>
      </c>
      <c r="AQ14" s="22">
        <v>112109</v>
      </c>
      <c r="AR14" s="22">
        <v>117532</v>
      </c>
      <c r="AS14" s="22">
        <v>131561</v>
      </c>
      <c r="AT14" s="22">
        <v>36435</v>
      </c>
      <c r="AU14" s="22">
        <v>95358</v>
      </c>
      <c r="AV14" s="22">
        <v>133432</v>
      </c>
      <c r="AW14" s="22">
        <v>135091</v>
      </c>
      <c r="AY14" s="13"/>
      <c r="AZ14" s="13"/>
      <c r="BA14" s="13"/>
      <c r="BC14" s="13"/>
    </row>
    <row r="15" spans="1:55" ht="18" customHeight="1">
      <c r="A15" s="22" t="s">
        <v>26</v>
      </c>
      <c r="B15" s="23">
        <v>117532</v>
      </c>
      <c r="C15" s="23">
        <v>131561</v>
      </c>
      <c r="D15" s="23">
        <v>36435</v>
      </c>
      <c r="E15" s="23">
        <v>95358</v>
      </c>
      <c r="F15" s="23">
        <v>133432</v>
      </c>
      <c r="G15" s="23">
        <v>135091</v>
      </c>
      <c r="H15" s="24"/>
      <c r="I15" s="25">
        <f t="shared" si="6"/>
        <v>7.7257621909146064</v>
      </c>
      <c r="J15" s="25">
        <f t="shared" si="7"/>
        <v>6.5590267401628104</v>
      </c>
      <c r="K15" s="25">
        <f t="shared" si="8"/>
        <v>7.2135056360477083</v>
      </c>
      <c r="L15" s="25">
        <f t="shared" si="8"/>
        <v>7.9646487829365782</v>
      </c>
      <c r="M15" s="25">
        <f t="shared" si="8"/>
        <v>7.1912647195193298</v>
      </c>
      <c r="N15" s="26"/>
      <c r="O15" s="25">
        <f t="shared" si="9"/>
        <v>11.936323724602662</v>
      </c>
      <c r="P15" s="25">
        <f t="shared" si="10"/>
        <v>-72.305622486907211</v>
      </c>
      <c r="Q15" s="56" t="s">
        <v>137</v>
      </c>
      <c r="R15" s="57">
        <f t="shared" si="11"/>
        <v>39.927431363912838</v>
      </c>
      <c r="S15" s="57">
        <f t="shared" si="11"/>
        <v>1.243329935847473</v>
      </c>
      <c r="T15" s="45" t="s">
        <v>27</v>
      </c>
      <c r="AN15" s="13">
        <v>6</v>
      </c>
      <c r="AO15" s="22" t="s">
        <v>36</v>
      </c>
      <c r="AP15" s="22">
        <v>71202</v>
      </c>
      <c r="AQ15" s="22">
        <v>88848</v>
      </c>
      <c r="AR15" s="22">
        <v>105297</v>
      </c>
      <c r="AS15" s="22">
        <v>136343</v>
      </c>
      <c r="AT15" s="22">
        <v>46690</v>
      </c>
      <c r="AU15" s="22">
        <v>27309</v>
      </c>
      <c r="AV15" s="22">
        <v>97627</v>
      </c>
      <c r="AW15" s="22">
        <v>118525</v>
      </c>
      <c r="BC15" s="13"/>
    </row>
    <row r="16" spans="1:55" ht="18" customHeight="1">
      <c r="A16" s="22" t="s">
        <v>28</v>
      </c>
      <c r="B16" s="23">
        <v>2398</v>
      </c>
      <c r="C16" s="23">
        <v>2805</v>
      </c>
      <c r="D16" s="23">
        <v>871</v>
      </c>
      <c r="E16" s="23">
        <v>2454</v>
      </c>
      <c r="F16" s="23">
        <v>3406</v>
      </c>
      <c r="G16" s="23">
        <v>3936</v>
      </c>
      <c r="H16" s="24"/>
      <c r="I16" s="25">
        <f t="shared" si="6"/>
        <v>0.16472026623023137</v>
      </c>
      <c r="J16" s="25">
        <f t="shared" si="7"/>
        <v>0.1567973731489449</v>
      </c>
      <c r="K16" s="25">
        <f t="shared" si="8"/>
        <v>0.18563668313996809</v>
      </c>
      <c r="L16" s="25">
        <f t="shared" si="8"/>
        <v>0.2033065063454193</v>
      </c>
      <c r="M16" s="25">
        <f t="shared" si="8"/>
        <v>0.20952408329221106</v>
      </c>
      <c r="N16" s="26"/>
      <c r="O16" s="25">
        <f t="shared" si="9"/>
        <v>16.972477064220186</v>
      </c>
      <c r="P16" s="25">
        <f t="shared" si="10"/>
        <v>-68.948306595365409</v>
      </c>
      <c r="Q16" s="56" t="s">
        <v>137</v>
      </c>
      <c r="R16" s="57">
        <f t="shared" si="11"/>
        <v>38.793806030969847</v>
      </c>
      <c r="S16" s="57">
        <f t="shared" si="11"/>
        <v>15.560775102759836</v>
      </c>
      <c r="T16" s="45" t="s">
        <v>29</v>
      </c>
      <c r="AN16" s="13">
        <v>7</v>
      </c>
      <c r="AO16" s="22" t="s">
        <v>106</v>
      </c>
      <c r="AP16" s="22">
        <v>32589</v>
      </c>
      <c r="AQ16" s="22">
        <v>39180</v>
      </c>
      <c r="AR16" s="22">
        <v>42901</v>
      </c>
      <c r="AS16" s="22">
        <v>54474</v>
      </c>
      <c r="AT16" s="22">
        <v>19759</v>
      </c>
      <c r="AU16" s="22">
        <v>55760</v>
      </c>
      <c r="AV16" s="22">
        <v>80697</v>
      </c>
      <c r="AW16" s="22">
        <v>74838</v>
      </c>
      <c r="AY16" s="13"/>
      <c r="AZ16" s="13"/>
      <c r="BA16" s="13"/>
      <c r="BC16" s="13"/>
    </row>
    <row r="17" spans="1:55" ht="18" customHeight="1">
      <c r="A17" s="22" t="s">
        <v>30</v>
      </c>
      <c r="B17" s="23">
        <v>7782</v>
      </c>
      <c r="C17" s="23">
        <v>10025</v>
      </c>
      <c r="D17" s="23">
        <v>5813</v>
      </c>
      <c r="E17" s="23">
        <v>12582</v>
      </c>
      <c r="F17" s="23">
        <v>15224</v>
      </c>
      <c r="G17" s="23">
        <v>15575</v>
      </c>
      <c r="H17" s="24"/>
      <c r="I17" s="25">
        <f t="shared" si="6"/>
        <v>0.58870612084066654</v>
      </c>
      <c r="J17" s="25">
        <f t="shared" si="7"/>
        <v>1.046455947318963</v>
      </c>
      <c r="K17" s="25">
        <f t="shared" si="8"/>
        <v>0.95178514558560656</v>
      </c>
      <c r="L17" s="25">
        <f t="shared" si="8"/>
        <v>0.90873113699432273</v>
      </c>
      <c r="M17" s="25">
        <f t="shared" si="8"/>
        <v>0.8290999993079744</v>
      </c>
      <c r="N17" s="26"/>
      <c r="O17" s="25">
        <f t="shared" si="9"/>
        <v>28.822924698021072</v>
      </c>
      <c r="P17" s="25">
        <f t="shared" si="10"/>
        <v>-42.014962593516209</v>
      </c>
      <c r="Q17" s="56" t="s">
        <v>137</v>
      </c>
      <c r="R17" s="57">
        <f t="shared" si="11"/>
        <v>20.998251470354475</v>
      </c>
      <c r="S17" s="57">
        <f t="shared" si="11"/>
        <v>2.3055701523909615</v>
      </c>
      <c r="T17" s="45" t="s">
        <v>31</v>
      </c>
      <c r="AN17" s="2">
        <v>8</v>
      </c>
      <c r="AO17" s="22" t="s">
        <v>24</v>
      </c>
      <c r="AP17" s="22">
        <v>40487</v>
      </c>
      <c r="AQ17" s="22">
        <v>42365</v>
      </c>
      <c r="AR17" s="22">
        <v>50476</v>
      </c>
      <c r="AS17" s="22">
        <v>59738</v>
      </c>
      <c r="AT17" s="22">
        <v>28031</v>
      </c>
      <c r="AU17" s="22">
        <v>30068</v>
      </c>
      <c r="AV17" s="22">
        <v>48341</v>
      </c>
      <c r="AW17" s="22">
        <v>49201</v>
      </c>
      <c r="BC17" s="13"/>
    </row>
    <row r="18" spans="1:55" ht="18" customHeight="1">
      <c r="A18" s="22" t="s">
        <v>32</v>
      </c>
      <c r="B18" s="23">
        <v>4236</v>
      </c>
      <c r="C18" s="23">
        <v>4287</v>
      </c>
      <c r="D18" s="23">
        <v>1688</v>
      </c>
      <c r="E18" s="23">
        <v>2931</v>
      </c>
      <c r="F18" s="23">
        <v>6691</v>
      </c>
      <c r="G18" s="23">
        <v>5743</v>
      </c>
      <c r="H18" s="24"/>
      <c r="I18" s="25">
        <f t="shared" si="6"/>
        <v>0.25174894165026801</v>
      </c>
      <c r="J18" s="25">
        <f t="shared" si="7"/>
        <v>0.30387366920254766</v>
      </c>
      <c r="K18" s="25">
        <f t="shared" si="8"/>
        <v>0.22172009709993745</v>
      </c>
      <c r="L18" s="25">
        <f t="shared" si="8"/>
        <v>0.39939043862513229</v>
      </c>
      <c r="M18" s="25">
        <f t="shared" si="8"/>
        <v>0.30571565303535769</v>
      </c>
      <c r="N18" s="26"/>
      <c r="O18" s="25">
        <f t="shared" si="9"/>
        <v>1.2039660056657222</v>
      </c>
      <c r="P18" s="25">
        <f t="shared" si="10"/>
        <v>-60.625145789596459</v>
      </c>
      <c r="Q18" s="57">
        <f t="shared" si="12"/>
        <v>73.637440758293835</v>
      </c>
      <c r="R18" s="56" t="s">
        <v>137</v>
      </c>
      <c r="S18" s="57">
        <f>(G18-F18)/F18*100</f>
        <v>-14.168285756986998</v>
      </c>
      <c r="T18" s="45" t="s">
        <v>33</v>
      </c>
      <c r="AN18" s="13">
        <v>9</v>
      </c>
      <c r="AO18" s="22" t="s">
        <v>52</v>
      </c>
      <c r="AP18" s="22">
        <v>23393</v>
      </c>
      <c r="AQ18" s="22">
        <v>25843</v>
      </c>
      <c r="AR18" s="22">
        <v>31780</v>
      </c>
      <c r="AS18" s="22">
        <v>36064</v>
      </c>
      <c r="AT18" s="22">
        <v>6778</v>
      </c>
      <c r="AU18" s="22">
        <v>37354</v>
      </c>
      <c r="AV18" s="22">
        <v>42123</v>
      </c>
      <c r="AW18" s="22">
        <v>40461</v>
      </c>
      <c r="AY18" s="13"/>
      <c r="AZ18" s="13"/>
      <c r="BA18" s="13"/>
      <c r="BC18" s="13"/>
    </row>
    <row r="19" spans="1:55" ht="18" customHeight="1">
      <c r="A19" s="22" t="s">
        <v>34</v>
      </c>
      <c r="B19" s="23">
        <v>7748</v>
      </c>
      <c r="C19" s="23">
        <v>10424</v>
      </c>
      <c r="D19" s="23">
        <v>1782</v>
      </c>
      <c r="E19" s="23">
        <v>12175</v>
      </c>
      <c r="F19" s="23">
        <v>15748</v>
      </c>
      <c r="G19" s="23">
        <v>10966</v>
      </c>
      <c r="H19" s="24"/>
      <c r="I19" s="25">
        <f t="shared" si="6"/>
        <v>0.61213691806913795</v>
      </c>
      <c r="J19" s="25">
        <f t="shared" si="7"/>
        <v>0.32079554414629141</v>
      </c>
      <c r="K19" s="25">
        <f t="shared" si="8"/>
        <v>0.92099699153590531</v>
      </c>
      <c r="L19" s="25">
        <f t="shared" si="8"/>
        <v>0.94000906104746429</v>
      </c>
      <c r="M19" s="25">
        <f t="shared" si="8"/>
        <v>0.58375027880650066</v>
      </c>
      <c r="N19" s="26"/>
      <c r="O19" s="25">
        <f t="shared" si="9"/>
        <v>34.537945276200311</v>
      </c>
      <c r="P19" s="25">
        <f t="shared" si="10"/>
        <v>-82.904834996162705</v>
      </c>
      <c r="Q19" s="56" t="s">
        <v>137</v>
      </c>
      <c r="R19" s="57">
        <f t="shared" si="11"/>
        <v>29.347022587268995</v>
      </c>
      <c r="S19" s="57">
        <f t="shared" si="11"/>
        <v>-30.365760731521462</v>
      </c>
      <c r="T19" s="45" t="s">
        <v>35</v>
      </c>
      <c r="AN19" s="13">
        <v>10</v>
      </c>
      <c r="AO19" s="22" t="s">
        <v>56</v>
      </c>
      <c r="AP19" s="22">
        <v>31678</v>
      </c>
      <c r="AQ19" s="22">
        <v>32651</v>
      </c>
      <c r="AR19" s="22">
        <v>32984</v>
      </c>
      <c r="AS19" s="22">
        <v>33829</v>
      </c>
      <c r="AT19" s="22">
        <v>12517</v>
      </c>
      <c r="AU19" s="22">
        <v>24951</v>
      </c>
      <c r="AV19" s="22">
        <v>34614</v>
      </c>
      <c r="AW19" s="22">
        <v>37258</v>
      </c>
      <c r="BC19" s="13"/>
    </row>
    <row r="20" spans="1:55" ht="18" customHeight="1">
      <c r="A20" s="22" t="s">
        <v>36</v>
      </c>
      <c r="B20" s="23">
        <v>105297</v>
      </c>
      <c r="C20" s="23">
        <v>136343</v>
      </c>
      <c r="D20" s="23">
        <v>46690</v>
      </c>
      <c r="E20" s="23">
        <v>27309</v>
      </c>
      <c r="F20" s="23">
        <v>97627</v>
      </c>
      <c r="G20" s="23">
        <v>118525</v>
      </c>
      <c r="H20" s="24"/>
      <c r="I20" s="25">
        <f t="shared" si="6"/>
        <v>8.0065794148407967</v>
      </c>
      <c r="J20" s="25">
        <f t="shared" si="7"/>
        <v>8.4051312885467713</v>
      </c>
      <c r="K20" s="25">
        <f t="shared" si="8"/>
        <v>2.0658321841358553</v>
      </c>
      <c r="L20" s="25">
        <f t="shared" si="8"/>
        <v>5.8274234571298447</v>
      </c>
      <c r="M20" s="25">
        <f t="shared" si="8"/>
        <v>6.3094110701751305</v>
      </c>
      <c r="N20" s="26"/>
      <c r="O20" s="25">
        <f t="shared" si="9"/>
        <v>29.484220823005401</v>
      </c>
      <c r="P20" s="25">
        <f t="shared" si="10"/>
        <v>-65.755484329961931</v>
      </c>
      <c r="Q20" s="57">
        <f t="shared" si="12"/>
        <v>-41.509959306061255</v>
      </c>
      <c r="R20" s="56" t="s">
        <v>137</v>
      </c>
      <c r="S20" s="57">
        <f t="shared" si="11"/>
        <v>21.405963514191768</v>
      </c>
      <c r="T20" s="45" t="s">
        <v>37</v>
      </c>
      <c r="AU20" s="2"/>
      <c r="AY20" s="13"/>
      <c r="AZ20" s="13"/>
      <c r="BA20" s="13"/>
      <c r="BC20" s="13"/>
    </row>
    <row r="21" spans="1:55" ht="18" customHeight="1">
      <c r="A21" s="22" t="s">
        <v>38</v>
      </c>
      <c r="B21" s="23">
        <v>13845</v>
      </c>
      <c r="C21" s="23">
        <v>12261</v>
      </c>
      <c r="D21" s="23">
        <v>3258</v>
      </c>
      <c r="E21" s="23">
        <v>5100</v>
      </c>
      <c r="F21" s="23">
        <v>10452</v>
      </c>
      <c r="G21" s="23">
        <v>12977</v>
      </c>
      <c r="H21" s="24"/>
      <c r="I21" s="25">
        <f t="shared" si="6"/>
        <v>0.7200125434042306</v>
      </c>
      <c r="J21" s="25">
        <f t="shared" si="7"/>
        <v>0.5865049847523105</v>
      </c>
      <c r="K21" s="25">
        <f t="shared" si="8"/>
        <v>0.38579750774809995</v>
      </c>
      <c r="L21" s="25">
        <f t="shared" si="8"/>
        <v>0.62388714160960734</v>
      </c>
      <c r="M21" s="25">
        <f t="shared" si="8"/>
        <v>0.69080132847637765</v>
      </c>
      <c r="N21" s="26"/>
      <c r="O21" s="25">
        <f t="shared" si="9"/>
        <v>-11.440953412784399</v>
      </c>
      <c r="P21" s="25">
        <f t="shared" si="10"/>
        <v>-73.427942255933445</v>
      </c>
      <c r="Q21" s="57">
        <f t="shared" si="12"/>
        <v>56.537753222836095</v>
      </c>
      <c r="R21" s="56" t="s">
        <v>137</v>
      </c>
      <c r="S21" s="57">
        <f t="shared" si="11"/>
        <v>24.158055874473785</v>
      </c>
      <c r="T21" s="45" t="s">
        <v>39</v>
      </c>
      <c r="AU21" s="2"/>
      <c r="BC21" s="13"/>
    </row>
    <row r="22" spans="1:55" ht="18" customHeight="1">
      <c r="A22" s="22" t="s">
        <v>40</v>
      </c>
      <c r="B22" s="23">
        <v>5585</v>
      </c>
      <c r="C22" s="23">
        <v>5641</v>
      </c>
      <c r="D22" s="23">
        <v>1624</v>
      </c>
      <c r="E22" s="23">
        <v>1549</v>
      </c>
      <c r="F22" s="23">
        <v>5336</v>
      </c>
      <c r="G22" s="23">
        <v>4330</v>
      </c>
      <c r="H22" s="24"/>
      <c r="I22" s="25">
        <f t="shared" si="6"/>
        <v>0.331260970340369</v>
      </c>
      <c r="J22" s="25">
        <f t="shared" si="7"/>
        <v>0.2923523926451051</v>
      </c>
      <c r="K22" s="25">
        <f t="shared" si="8"/>
        <v>0.11717653715721701</v>
      </c>
      <c r="L22" s="25">
        <f t="shared" si="8"/>
        <v>0.31850954722817304</v>
      </c>
      <c r="M22" s="25">
        <f t="shared" si="8"/>
        <v>0.23049778471932769</v>
      </c>
      <c r="N22" s="26"/>
      <c r="O22" s="25">
        <f t="shared" si="9"/>
        <v>1.0026857654431514</v>
      </c>
      <c r="P22" s="25">
        <f t="shared" si="10"/>
        <v>-71.210778230810149</v>
      </c>
      <c r="Q22" s="57">
        <f t="shared" si="12"/>
        <v>-4.6182266009852215</v>
      </c>
      <c r="R22" s="56" t="s">
        <v>137</v>
      </c>
      <c r="S22" s="57">
        <f t="shared" si="11"/>
        <v>-18.853073463268366</v>
      </c>
      <c r="T22" s="45" t="s">
        <v>41</v>
      </c>
      <c r="AU22" s="2"/>
      <c r="AY22" s="13"/>
      <c r="AZ22" s="13"/>
      <c r="BA22" s="13"/>
      <c r="BC22" s="13"/>
    </row>
    <row r="23" spans="1:55" ht="18" customHeight="1">
      <c r="A23" s="22" t="s">
        <v>42</v>
      </c>
      <c r="B23" s="23">
        <v>12025</v>
      </c>
      <c r="C23" s="23">
        <v>20961</v>
      </c>
      <c r="D23" s="23">
        <v>7108</v>
      </c>
      <c r="E23" s="23">
        <v>23596</v>
      </c>
      <c r="F23" s="23">
        <v>23590</v>
      </c>
      <c r="G23" s="23">
        <v>28394</v>
      </c>
      <c r="H23" s="24"/>
      <c r="I23" s="25">
        <f t="shared" si="6"/>
        <v>1.2309096258295471</v>
      </c>
      <c r="J23" s="25">
        <f t="shared" si="7"/>
        <v>1.2795817776609648</v>
      </c>
      <c r="K23" s="25">
        <f t="shared" si="8"/>
        <v>1.7849564691812092</v>
      </c>
      <c r="L23" s="25">
        <f t="shared" si="8"/>
        <v>1.4081034893389435</v>
      </c>
      <c r="M23" s="25">
        <f t="shared" si="8"/>
        <v>1.5114905541156098</v>
      </c>
      <c r="N23" s="26"/>
      <c r="O23" s="25">
        <f t="shared" si="9"/>
        <v>74.311850311850307</v>
      </c>
      <c r="P23" s="25">
        <f t="shared" si="10"/>
        <v>-66.089404131482283</v>
      </c>
      <c r="Q23" s="56" t="s">
        <v>137</v>
      </c>
      <c r="R23" s="57">
        <f t="shared" si="11"/>
        <v>-2.5428038650618746E-2</v>
      </c>
      <c r="S23" s="57">
        <f t="shared" si="11"/>
        <v>20.364561254768969</v>
      </c>
      <c r="T23" s="45" t="s">
        <v>43</v>
      </c>
      <c r="AU23" s="2"/>
      <c r="BC23" s="13"/>
    </row>
    <row r="24" spans="1:55" ht="18" customHeight="1">
      <c r="A24" s="22" t="s">
        <v>44</v>
      </c>
      <c r="B24" s="23">
        <v>8342</v>
      </c>
      <c r="C24" s="23">
        <v>11428</v>
      </c>
      <c r="D24" s="23">
        <v>3206</v>
      </c>
      <c r="E24" s="23">
        <v>15743</v>
      </c>
      <c r="F24" s="23">
        <v>13377</v>
      </c>
      <c r="G24" s="23">
        <v>11950</v>
      </c>
      <c r="H24" s="24"/>
      <c r="I24" s="25">
        <f t="shared" si="6"/>
        <v>0.67109561585707089</v>
      </c>
      <c r="J24" s="25">
        <f t="shared" si="7"/>
        <v>0.57714394754938847</v>
      </c>
      <c r="K24" s="25">
        <f t="shared" si="8"/>
        <v>1.1909039538192818</v>
      </c>
      <c r="L24" s="25">
        <f t="shared" si="8"/>
        <v>0.79848242377647505</v>
      </c>
      <c r="M24" s="25">
        <f t="shared" si="8"/>
        <v>0.63613129962955328</v>
      </c>
      <c r="N24" s="26"/>
      <c r="O24" s="25">
        <f t="shared" si="9"/>
        <v>36.993526732198511</v>
      </c>
      <c r="P24" s="25">
        <f t="shared" si="10"/>
        <v>-71.946097304865248</v>
      </c>
      <c r="Q24" s="56" t="s">
        <v>137</v>
      </c>
      <c r="R24" s="57">
        <f t="shared" si="11"/>
        <v>-15.028901734104046</v>
      </c>
      <c r="S24" s="57">
        <f t="shared" si="11"/>
        <v>-10.667563728788219</v>
      </c>
      <c r="T24" s="45" t="s">
        <v>45</v>
      </c>
      <c r="AU24" s="2"/>
      <c r="BC24" s="13"/>
    </row>
    <row r="25" spans="1:55" ht="18" customHeight="1">
      <c r="A25" s="22" t="s">
        <v>46</v>
      </c>
      <c r="B25" s="23">
        <v>70935</v>
      </c>
      <c r="C25" s="23">
        <v>83369</v>
      </c>
      <c r="D25" s="23">
        <v>61387</v>
      </c>
      <c r="E25" s="23">
        <v>222422</v>
      </c>
      <c r="F25" s="23">
        <v>201954</v>
      </c>
      <c r="G25" s="23">
        <v>209146</v>
      </c>
      <c r="H25" s="24"/>
      <c r="I25" s="25">
        <f t="shared" si="6"/>
        <v>4.8957446970938179</v>
      </c>
      <c r="J25" s="25">
        <f t="shared" si="7"/>
        <v>11.05088443799573</v>
      </c>
      <c r="K25" s="25">
        <f t="shared" si="8"/>
        <v>16.825461425166253</v>
      </c>
      <c r="L25" s="25">
        <f t="shared" si="8"/>
        <v>12.054774569137642</v>
      </c>
      <c r="M25" s="25">
        <f t="shared" si="8"/>
        <v>11.1334156311567</v>
      </c>
      <c r="N25" s="26"/>
      <c r="O25" s="25">
        <f t="shared" si="9"/>
        <v>17.52872347924156</v>
      </c>
      <c r="P25" s="25">
        <f t="shared" si="10"/>
        <v>-26.367114874833568</v>
      </c>
      <c r="Q25" s="56" t="s">
        <v>137</v>
      </c>
      <c r="R25" s="57">
        <f t="shared" si="11"/>
        <v>-9.2023271079299711</v>
      </c>
      <c r="S25" s="57">
        <f t="shared" si="11"/>
        <v>3.5612070075363698</v>
      </c>
      <c r="T25" s="45" t="s">
        <v>47</v>
      </c>
      <c r="AU25" s="2"/>
      <c r="BC25" s="13"/>
    </row>
    <row r="26" spans="1:55" ht="18" customHeight="1">
      <c r="A26" s="22" t="s">
        <v>48</v>
      </c>
      <c r="B26" s="23">
        <v>6584</v>
      </c>
      <c r="C26" s="23">
        <v>6910</v>
      </c>
      <c r="D26" s="23">
        <v>4498</v>
      </c>
      <c r="E26" s="23">
        <v>7637</v>
      </c>
      <c r="F26" s="23">
        <v>9170</v>
      </c>
      <c r="G26" s="23">
        <v>10651</v>
      </c>
      <c r="H26" s="24"/>
      <c r="I26" s="25">
        <f t="shared" si="6"/>
        <v>0.40578147581137208</v>
      </c>
      <c r="J26" s="25">
        <f t="shared" si="7"/>
        <v>0.80972971805276028</v>
      </c>
      <c r="K26" s="25">
        <f t="shared" si="8"/>
        <v>0.57771285621024304</v>
      </c>
      <c r="L26" s="25">
        <f t="shared" si="8"/>
        <v>0.54736367092997507</v>
      </c>
      <c r="M26" s="25">
        <f t="shared" si="8"/>
        <v>0.56698196421375502</v>
      </c>
      <c r="N26" s="26"/>
      <c r="O26" s="25">
        <f t="shared" si="9"/>
        <v>4.9513973268529767</v>
      </c>
      <c r="P26" s="25">
        <f t="shared" si="10"/>
        <v>-34.905933429811867</v>
      </c>
      <c r="Q26" s="57">
        <f t="shared" si="12"/>
        <v>69.7865718096932</v>
      </c>
      <c r="R26" s="57">
        <f t="shared" si="11"/>
        <v>20.073327222731439</v>
      </c>
      <c r="S26" s="57">
        <f t="shared" si="11"/>
        <v>16.150490730643401</v>
      </c>
      <c r="T26" s="45" t="s">
        <v>49</v>
      </c>
      <c r="AU26" s="2"/>
      <c r="BC26" s="13"/>
    </row>
    <row r="27" spans="1:55" ht="18" customHeight="1">
      <c r="A27" s="22" t="s">
        <v>50</v>
      </c>
      <c r="B27" s="23">
        <v>3167</v>
      </c>
      <c r="C27" s="23">
        <v>3693</v>
      </c>
      <c r="D27" s="23">
        <v>1561</v>
      </c>
      <c r="E27" s="23">
        <v>2922</v>
      </c>
      <c r="F27" s="23">
        <v>4373</v>
      </c>
      <c r="G27" s="23">
        <v>5822</v>
      </c>
      <c r="H27" s="24"/>
      <c r="I27" s="25">
        <f t="shared" si="6"/>
        <v>0.21686700291916025</v>
      </c>
      <c r="J27" s="25">
        <f t="shared" si="7"/>
        <v>0.28101113603387257</v>
      </c>
      <c r="K27" s="25">
        <f t="shared" si="8"/>
        <v>0.22103927796861728</v>
      </c>
      <c r="L27" s="25">
        <f t="shared" si="8"/>
        <v>0.26102740817631198</v>
      </c>
      <c r="M27" s="25">
        <f t="shared" si="8"/>
        <v>0.3099210398697288</v>
      </c>
      <c r="N27" s="26"/>
      <c r="O27" s="25">
        <f t="shared" si="9"/>
        <v>16.608778023365961</v>
      </c>
      <c r="P27" s="25">
        <f t="shared" si="10"/>
        <v>-57.730842133766579</v>
      </c>
      <c r="Q27" s="57">
        <f t="shared" si="12"/>
        <v>87.187700192184494</v>
      </c>
      <c r="R27" s="57">
        <f t="shared" si="11"/>
        <v>49.657768651608485</v>
      </c>
      <c r="S27" s="57">
        <f t="shared" si="11"/>
        <v>33.135147495998169</v>
      </c>
      <c r="T27" s="45" t="s">
        <v>51</v>
      </c>
      <c r="AU27" s="2"/>
      <c r="BC27" s="13"/>
    </row>
    <row r="28" spans="1:55" ht="18" customHeight="1">
      <c r="A28" s="22" t="s">
        <v>52</v>
      </c>
      <c r="B28" s="23">
        <v>31780</v>
      </c>
      <c r="C28" s="23">
        <v>36064</v>
      </c>
      <c r="D28" s="23">
        <v>6778</v>
      </c>
      <c r="E28" s="23">
        <v>37354</v>
      </c>
      <c r="F28" s="23">
        <v>42123</v>
      </c>
      <c r="G28" s="23">
        <v>40461</v>
      </c>
      <c r="H28" s="24"/>
      <c r="I28" s="25">
        <f t="shared" si="6"/>
        <v>2.1178152161593808</v>
      </c>
      <c r="J28" s="25">
        <f t="shared" si="7"/>
        <v>1.2201751954116518</v>
      </c>
      <c r="K28" s="25">
        <f t="shared" si="8"/>
        <v>2.8257019812593187</v>
      </c>
      <c r="L28" s="25">
        <f t="shared" si="8"/>
        <v>2.514351135287169</v>
      </c>
      <c r="M28" s="25">
        <f t="shared" si="8"/>
        <v>2.1538500848796116</v>
      </c>
      <c r="N28" s="26"/>
      <c r="O28" s="25">
        <f t="shared" si="9"/>
        <v>13.480176211453745</v>
      </c>
      <c r="P28" s="25">
        <f t="shared" si="10"/>
        <v>-81.205634427684117</v>
      </c>
      <c r="Q28" s="56" t="s">
        <v>137</v>
      </c>
      <c r="R28" s="57">
        <f t="shared" si="11"/>
        <v>12.767039674465922</v>
      </c>
      <c r="S28" s="57">
        <f t="shared" si="11"/>
        <v>-3.9455879210882414</v>
      </c>
      <c r="T28" s="45" t="s">
        <v>53</v>
      </c>
      <c r="AU28" s="2"/>
      <c r="BC28" s="13"/>
    </row>
    <row r="29" spans="1:55" ht="18" customHeight="1">
      <c r="A29" s="22" t="s">
        <v>54</v>
      </c>
      <c r="B29" s="23">
        <v>14988</v>
      </c>
      <c r="C29" s="23">
        <v>13245</v>
      </c>
      <c r="D29" s="23">
        <v>5613</v>
      </c>
      <c r="E29" s="23">
        <v>7746</v>
      </c>
      <c r="F29" s="23">
        <v>12141</v>
      </c>
      <c r="G29" s="23">
        <v>11194</v>
      </c>
      <c r="H29" s="24"/>
      <c r="I29" s="25">
        <f t="shared" si="6"/>
        <v>0.77779676514061125</v>
      </c>
      <c r="J29" s="25">
        <f t="shared" si="7"/>
        <v>1.0104519580769549</v>
      </c>
      <c r="K29" s="25">
        <f t="shared" si="8"/>
        <v>0.58595833235623185</v>
      </c>
      <c r="L29" s="25">
        <f t="shared" si="8"/>
        <v>0.72470472505570638</v>
      </c>
      <c r="M29" s="25">
        <f t="shared" si="8"/>
        <v>0.59588734460696402</v>
      </c>
      <c r="N29" s="26"/>
      <c r="O29" s="25">
        <f t="shared" si="9"/>
        <v>-11.629303442754203</v>
      </c>
      <c r="P29" s="25">
        <f t="shared" si="10"/>
        <v>-57.621744054360136</v>
      </c>
      <c r="Q29" s="57">
        <f t="shared" si="12"/>
        <v>38.00106894708712</v>
      </c>
      <c r="R29" s="57">
        <f t="shared" si="11"/>
        <v>56.73896204492641</v>
      </c>
      <c r="S29" s="57">
        <f t="shared" si="11"/>
        <v>-7.800016473107652</v>
      </c>
      <c r="T29" s="45" t="s">
        <v>55</v>
      </c>
      <c r="AU29" s="2"/>
      <c r="BC29" s="13"/>
    </row>
    <row r="30" spans="1:55" ht="18" customHeight="1">
      <c r="A30" s="22" t="s">
        <v>56</v>
      </c>
      <c r="B30" s="23">
        <v>32984</v>
      </c>
      <c r="C30" s="23">
        <v>33829</v>
      </c>
      <c r="D30" s="23">
        <v>12517</v>
      </c>
      <c r="E30" s="23">
        <v>24951</v>
      </c>
      <c r="F30" s="23">
        <v>34614</v>
      </c>
      <c r="G30" s="23">
        <v>37258</v>
      </c>
      <c r="H30" s="24"/>
      <c r="I30" s="25">
        <f t="shared" si="6"/>
        <v>1.9865675173983945</v>
      </c>
      <c r="J30" s="25">
        <f t="shared" si="7"/>
        <v>2.2533096667110715</v>
      </c>
      <c r="K30" s="25">
        <f t="shared" si="8"/>
        <v>1.8874575717299689</v>
      </c>
      <c r="L30" s="25">
        <f t="shared" si="8"/>
        <v>2.0661337083500717</v>
      </c>
      <c r="M30" s="25">
        <f t="shared" si="8"/>
        <v>1.9833456034809955</v>
      </c>
      <c r="N30" s="26"/>
      <c r="O30" s="25">
        <f t="shared" si="9"/>
        <v>2.5618481688091199</v>
      </c>
      <c r="P30" s="25">
        <f t="shared" si="10"/>
        <v>-62.999201868219579</v>
      </c>
      <c r="Q30" s="57">
        <f t="shared" si="12"/>
        <v>99.336901813533601</v>
      </c>
      <c r="R30" s="57">
        <f t="shared" si="11"/>
        <v>38.727906697126372</v>
      </c>
      <c r="S30" s="57">
        <f t="shared" si="11"/>
        <v>7.638527763332756</v>
      </c>
      <c r="T30" s="45" t="s">
        <v>57</v>
      </c>
      <c r="BC30" s="13"/>
    </row>
    <row r="31" spans="1:55" ht="18" customHeight="1">
      <c r="A31" s="22" t="s">
        <v>58</v>
      </c>
      <c r="B31" s="23">
        <v>10129</v>
      </c>
      <c r="C31" s="23">
        <v>9976</v>
      </c>
      <c r="D31" s="23">
        <v>3164</v>
      </c>
      <c r="E31" s="23">
        <v>10529</v>
      </c>
      <c r="F31" s="23">
        <v>10502</v>
      </c>
      <c r="G31" s="23">
        <v>14016</v>
      </c>
      <c r="H31" s="24"/>
      <c r="I31" s="25">
        <f t="shared" si="6"/>
        <v>0.58582865451436295</v>
      </c>
      <c r="J31" s="25">
        <f t="shared" si="7"/>
        <v>0.56958310980856686</v>
      </c>
      <c r="K31" s="25">
        <f t="shared" si="8"/>
        <v>0.79648273707445971</v>
      </c>
      <c r="L31" s="25">
        <f t="shared" si="8"/>
        <v>0.62687167634750252</v>
      </c>
      <c r="M31" s="25">
        <f t="shared" si="8"/>
        <v>0.74611015026006855</v>
      </c>
      <c r="N31" s="26"/>
      <c r="O31" s="25">
        <f t="shared" si="9"/>
        <v>-1.5105143646954291</v>
      </c>
      <c r="P31" s="25">
        <f t="shared" si="10"/>
        <v>-68.283881315156378</v>
      </c>
      <c r="Q31" s="56" t="s">
        <v>137</v>
      </c>
      <c r="R31" s="57">
        <f t="shared" si="11"/>
        <v>-0.25643460917466043</v>
      </c>
      <c r="S31" s="57">
        <f t="shared" si="11"/>
        <v>33.46029327747096</v>
      </c>
      <c r="T31" s="45" t="s">
        <v>59</v>
      </c>
      <c r="BC31" s="13"/>
    </row>
    <row r="32" spans="1:55" ht="18" customHeight="1">
      <c r="A32" s="22" t="s">
        <v>60</v>
      </c>
      <c r="B32" s="23">
        <v>11430</v>
      </c>
      <c r="C32" s="23">
        <v>13253</v>
      </c>
      <c r="D32" s="23">
        <v>10343</v>
      </c>
      <c r="E32" s="23">
        <v>35073</v>
      </c>
      <c r="F32" s="23">
        <v>12947</v>
      </c>
      <c r="G32" s="23">
        <v>12051</v>
      </c>
      <c r="H32" s="24"/>
      <c r="I32" s="25">
        <f t="shared" si="6"/>
        <v>0.77826655556123225</v>
      </c>
      <c r="J32" s="25">
        <f t="shared" si="7"/>
        <v>1.8619463036504444</v>
      </c>
      <c r="K32" s="25">
        <f t="shared" si="8"/>
        <v>2.6531521547547272</v>
      </c>
      <c r="L32" s="25">
        <f t="shared" si="8"/>
        <v>0.77281542503057654</v>
      </c>
      <c r="M32" s="25">
        <f t="shared" si="8"/>
        <v>0.64150780684817965</v>
      </c>
      <c r="N32" s="26"/>
      <c r="O32" s="25">
        <f t="shared" si="9"/>
        <v>15.949256342957129</v>
      </c>
      <c r="P32" s="25">
        <f t="shared" si="10"/>
        <v>-21.9572926884479</v>
      </c>
      <c r="Q32" s="56" t="s">
        <v>137</v>
      </c>
      <c r="R32" s="57">
        <f t="shared" si="11"/>
        <v>-63.085564394263393</v>
      </c>
      <c r="S32" s="57">
        <f t="shared" si="11"/>
        <v>-6.9205221286784582</v>
      </c>
      <c r="T32" s="45" t="s">
        <v>61</v>
      </c>
      <c r="BC32" s="13"/>
    </row>
    <row r="33" spans="1:57" ht="18" customHeight="1">
      <c r="A33" s="22" t="s">
        <v>62</v>
      </c>
      <c r="B33" s="23">
        <v>114602</v>
      </c>
      <c r="C33" s="23">
        <v>126199</v>
      </c>
      <c r="D33" s="23">
        <v>52720</v>
      </c>
      <c r="E33" s="23">
        <v>62777</v>
      </c>
      <c r="F33" s="23">
        <v>179309</v>
      </c>
      <c r="G33" s="23">
        <v>155994</v>
      </c>
      <c r="H33" s="24"/>
      <c r="I33" s="25">
        <f t="shared" si="6"/>
        <v>7.4108851614933924</v>
      </c>
      <c r="J33" s="25">
        <f t="shared" si="7"/>
        <v>9.4906515641933122</v>
      </c>
      <c r="K33" s="25">
        <f t="shared" si="8"/>
        <v>4.7488647340985235</v>
      </c>
      <c r="L33" s="25">
        <f t="shared" si="8"/>
        <v>10.703078786344918</v>
      </c>
      <c r="M33" s="25">
        <f t="shared" si="8"/>
        <v>8.3039887827960293</v>
      </c>
      <c r="N33" s="26"/>
      <c r="O33" s="25">
        <f t="shared" si="9"/>
        <v>10.119369644508822</v>
      </c>
      <c r="P33" s="25">
        <f t="shared" si="10"/>
        <v>-58.224708595155271</v>
      </c>
      <c r="Q33" s="57">
        <f t="shared" si="12"/>
        <v>19.076251896813353</v>
      </c>
      <c r="R33" s="56" t="s">
        <v>137</v>
      </c>
      <c r="S33" s="57">
        <f t="shared" si="11"/>
        <v>-13.002693674048709</v>
      </c>
      <c r="T33" s="45" t="s">
        <v>63</v>
      </c>
      <c r="AU33" s="2"/>
      <c r="BC33" s="13"/>
    </row>
    <row r="34" spans="1:57" ht="18" customHeight="1">
      <c r="A34" s="22" t="s">
        <v>64</v>
      </c>
      <c r="B34" s="23">
        <v>37628</v>
      </c>
      <c r="C34" s="23">
        <v>43424</v>
      </c>
      <c r="D34" s="23">
        <v>28890</v>
      </c>
      <c r="E34" s="23">
        <v>83690</v>
      </c>
      <c r="F34" s="23">
        <v>76789</v>
      </c>
      <c r="G34" s="23">
        <v>94246</v>
      </c>
      <c r="H34" s="24"/>
      <c r="I34" s="25">
        <f t="shared" si="6"/>
        <v>2.5500224031306833</v>
      </c>
      <c r="J34" s="25">
        <f t="shared" si="7"/>
        <v>5.2007762460080578</v>
      </c>
      <c r="K34" s="25">
        <f t="shared" si="8"/>
        <v>6.3308614555761737</v>
      </c>
      <c r="L34" s="25">
        <f t="shared" si="8"/>
        <v>4.5835887597646519</v>
      </c>
      <c r="M34" s="25">
        <f t="shared" si="8"/>
        <v>5.0169732606599906</v>
      </c>
      <c r="N34" s="26"/>
      <c r="O34" s="25">
        <f t="shared" si="9"/>
        <v>15.403422982885084</v>
      </c>
      <c r="P34" s="25">
        <f t="shared" si="10"/>
        <v>-33.469970523212972</v>
      </c>
      <c r="Q34" s="56" t="s">
        <v>137</v>
      </c>
      <c r="R34" s="57">
        <f t="shared" si="11"/>
        <v>-8.2459075158322381</v>
      </c>
      <c r="S34" s="57">
        <f t="shared" si="11"/>
        <v>22.733724882470145</v>
      </c>
      <c r="T34" s="45" t="s">
        <v>65</v>
      </c>
      <c r="AU34" s="2"/>
      <c r="BC34" s="13"/>
    </row>
    <row r="35" spans="1:57" s="13" customFormat="1" ht="18" customHeight="1">
      <c r="A35" s="27" t="s">
        <v>66</v>
      </c>
      <c r="B35" s="28">
        <f t="shared" ref="B35:D35" si="13">SUM(B36:B49)</f>
        <v>580928</v>
      </c>
      <c r="C35" s="28">
        <f t="shared" si="13"/>
        <v>661000</v>
      </c>
      <c r="D35" s="28">
        <f t="shared" si="13"/>
        <v>134279</v>
      </c>
      <c r="E35" s="28">
        <f t="shared" ref="E35:F35" si="14">SUM(E36:E49)</f>
        <v>336546</v>
      </c>
      <c r="F35" s="28">
        <f t="shared" si="14"/>
        <v>396261</v>
      </c>
      <c r="G35" s="28">
        <f t="shared" ref="G35" si="15">SUM(G36:G49)</f>
        <v>570376</v>
      </c>
      <c r="H35" s="29"/>
      <c r="I35" s="17">
        <f t="shared" si="6"/>
        <v>38.816433503808533</v>
      </c>
      <c r="J35" s="17">
        <f t="shared" si="7"/>
        <v>24.172898357137971</v>
      </c>
      <c r="K35" s="17">
        <f t="shared" si="8"/>
        <v>25.458550596586676</v>
      </c>
      <c r="L35" s="17">
        <f t="shared" si="8"/>
        <v>23.653094395461597</v>
      </c>
      <c r="M35" s="17">
        <f t="shared" si="8"/>
        <v>30.362680013180427</v>
      </c>
      <c r="N35" s="20"/>
      <c r="O35" s="17">
        <f t="shared" si="9"/>
        <v>13.783463699460174</v>
      </c>
      <c r="P35" s="17">
        <f t="shared" si="10"/>
        <v>-79.685476550680789</v>
      </c>
      <c r="Q35" s="60" t="s">
        <v>137</v>
      </c>
      <c r="R35" s="58">
        <f t="shared" si="11"/>
        <v>17.743488260148688</v>
      </c>
      <c r="S35" s="58">
        <f t="shared" si="11"/>
        <v>43.939474235415545</v>
      </c>
      <c r="T35" s="46" t="s">
        <v>67</v>
      </c>
      <c r="V35" s="2"/>
      <c r="AN35" s="2"/>
      <c r="AO35" s="2"/>
      <c r="AP35" s="2"/>
      <c r="AQ35" s="2"/>
      <c r="BB35" s="2"/>
      <c r="BD35" s="2"/>
      <c r="BE35" s="2"/>
    </row>
    <row r="36" spans="1:57" ht="18" customHeight="1">
      <c r="A36" s="22" t="s">
        <v>68</v>
      </c>
      <c r="B36" s="23">
        <v>3644</v>
      </c>
      <c r="C36" s="23">
        <v>3918</v>
      </c>
      <c r="D36" s="23">
        <v>1108</v>
      </c>
      <c r="E36" s="23">
        <v>3923</v>
      </c>
      <c r="F36" s="23">
        <v>16807</v>
      </c>
      <c r="G36" s="23">
        <v>28336</v>
      </c>
      <c r="H36" s="24"/>
      <c r="I36" s="25">
        <f t="shared" si="6"/>
        <v>0.23007985849912532</v>
      </c>
      <c r="J36" s="25">
        <f t="shared" si="7"/>
        <v>0.1994621004007244</v>
      </c>
      <c r="K36" s="25">
        <f t="shared" si="8"/>
        <v>0.29676149468545021</v>
      </c>
      <c r="L36" s="25">
        <f t="shared" si="8"/>
        <v>1.0032215067960841</v>
      </c>
      <c r="M36" s="25">
        <f t="shared" si="8"/>
        <v>1.508403054920755</v>
      </c>
      <c r="N36" s="26"/>
      <c r="O36" s="25">
        <f t="shared" si="9"/>
        <v>7.5192096597146003</v>
      </c>
      <c r="P36" s="25">
        <f t="shared" si="10"/>
        <v>-71.720265441551817</v>
      </c>
      <c r="Q36" s="56" t="s">
        <v>137</v>
      </c>
      <c r="R36" s="56" t="s">
        <v>137</v>
      </c>
      <c r="S36" s="57">
        <f t="shared" si="11"/>
        <v>68.596418159100367</v>
      </c>
      <c r="T36" s="45" t="s">
        <v>69</v>
      </c>
      <c r="AU36" s="2"/>
      <c r="BC36" s="13"/>
    </row>
    <row r="37" spans="1:57" ht="18" customHeight="1">
      <c r="A37" s="22" t="s">
        <v>70</v>
      </c>
      <c r="B37" s="23">
        <v>283116</v>
      </c>
      <c r="C37" s="23">
        <v>284029</v>
      </c>
      <c r="D37" s="23">
        <v>34245</v>
      </c>
      <c r="E37" s="23">
        <v>2238</v>
      </c>
      <c r="F37" s="23">
        <v>12764</v>
      </c>
      <c r="G37" s="23">
        <v>187125</v>
      </c>
      <c r="H37" s="24"/>
      <c r="I37" s="25">
        <f t="shared" si="6"/>
        <v>16.679262922319566</v>
      </c>
      <c r="J37" s="25">
        <f t="shared" si="7"/>
        <v>6.164783057962822</v>
      </c>
      <c r="K37" s="25">
        <f t="shared" si="8"/>
        <v>0.16929702398828386</v>
      </c>
      <c r="L37" s="25">
        <f t="shared" si="8"/>
        <v>0.7618920278898802</v>
      </c>
      <c r="M37" s="25">
        <f t="shared" si="8"/>
        <v>9.9611773592619386</v>
      </c>
      <c r="N37" s="26"/>
      <c r="O37" s="25">
        <f t="shared" si="9"/>
        <v>0.32248265728535297</v>
      </c>
      <c r="P37" s="25">
        <f t="shared" si="10"/>
        <v>-87.943132567449098</v>
      </c>
      <c r="Q37" s="57">
        <f t="shared" si="12"/>
        <v>-93.464739378011387</v>
      </c>
      <c r="R37" s="56" t="s">
        <v>137</v>
      </c>
      <c r="S37" s="56" t="s">
        <v>137</v>
      </c>
      <c r="T37" s="45" t="s">
        <v>71</v>
      </c>
      <c r="AU37" s="2"/>
      <c r="BC37" s="13"/>
    </row>
    <row r="38" spans="1:57" ht="18" customHeight="1">
      <c r="A38" s="22" t="s">
        <v>72</v>
      </c>
      <c r="B38" s="23">
        <v>90474</v>
      </c>
      <c r="C38" s="23">
        <v>166030</v>
      </c>
      <c r="D38" s="23">
        <v>62960</v>
      </c>
      <c r="E38" s="23">
        <v>291787</v>
      </c>
      <c r="F38" s="23">
        <v>241382</v>
      </c>
      <c r="G38" s="23">
        <v>209193</v>
      </c>
      <c r="H38" s="24"/>
      <c r="I38" s="25">
        <f t="shared" si="6"/>
        <v>9.7499129419626787</v>
      </c>
      <c r="J38" s="25">
        <f t="shared" si="7"/>
        <v>11.334055813384122</v>
      </c>
      <c r="K38" s="25">
        <f t="shared" si="8"/>
        <v>22.072685763391146</v>
      </c>
      <c r="L38" s="25">
        <f t="shared" si="8"/>
        <v>14.40825928205226</v>
      </c>
      <c r="M38" s="25">
        <f t="shared" si="8"/>
        <v>11.135917570159428</v>
      </c>
      <c r="N38" s="26"/>
      <c r="O38" s="25">
        <f t="shared" si="9"/>
        <v>83.511285010058131</v>
      </c>
      <c r="P38" s="25">
        <f t="shared" si="10"/>
        <v>-62.079142323676436</v>
      </c>
      <c r="Q38" s="56" t="s">
        <v>137</v>
      </c>
      <c r="R38" s="57">
        <f t="shared" si="11"/>
        <v>-17.274587284560315</v>
      </c>
      <c r="S38" s="57">
        <f t="shared" si="11"/>
        <v>-13.335294263863917</v>
      </c>
      <c r="T38" s="45" t="s">
        <v>73</v>
      </c>
      <c r="V38" s="13"/>
      <c r="AU38" s="2"/>
      <c r="BC38" s="13"/>
    </row>
    <row r="39" spans="1:57" ht="18" customHeight="1">
      <c r="A39" s="22" t="s">
        <v>74</v>
      </c>
      <c r="B39" s="23">
        <v>5885</v>
      </c>
      <c r="C39" s="23">
        <v>4646</v>
      </c>
      <c r="D39" s="23">
        <v>857</v>
      </c>
      <c r="E39" s="23">
        <v>953</v>
      </c>
      <c r="F39" s="23">
        <v>1958</v>
      </c>
      <c r="G39" s="23">
        <v>2783</v>
      </c>
      <c r="H39" s="24"/>
      <c r="I39" s="25">
        <f t="shared" si="6"/>
        <v>0.27283078677563455</v>
      </c>
      <c r="J39" s="25">
        <f t="shared" si="7"/>
        <v>0.15427709390200436</v>
      </c>
      <c r="K39" s="25">
        <f t="shared" si="8"/>
        <v>7.2091181349792019E-2</v>
      </c>
      <c r="L39" s="25">
        <f t="shared" si="8"/>
        <v>0.11687438033597505</v>
      </c>
      <c r="M39" s="25">
        <f t="shared" si="8"/>
        <v>0.14814672860828842</v>
      </c>
      <c r="N39" s="26"/>
      <c r="O39" s="25">
        <f t="shared" si="9"/>
        <v>-21.053525913338998</v>
      </c>
      <c r="P39" s="25">
        <f t="shared" si="10"/>
        <v>-81.55402496771417</v>
      </c>
      <c r="Q39" s="57">
        <f t="shared" si="12"/>
        <v>11.201866977829638</v>
      </c>
      <c r="R39" s="56" t="s">
        <v>137</v>
      </c>
      <c r="S39" s="57">
        <f t="shared" si="11"/>
        <v>42.134831460674157</v>
      </c>
      <c r="T39" s="45" t="s">
        <v>75</v>
      </c>
      <c r="AU39" s="2"/>
      <c r="BC39" s="13"/>
    </row>
    <row r="40" spans="1:57" ht="18" customHeight="1">
      <c r="A40" s="22" t="s">
        <v>76</v>
      </c>
      <c r="B40" s="23">
        <v>42304</v>
      </c>
      <c r="C40" s="23">
        <v>44251</v>
      </c>
      <c r="D40" s="23">
        <v>8479</v>
      </c>
      <c r="E40" s="23">
        <v>937</v>
      </c>
      <c r="F40" s="23">
        <v>8543</v>
      </c>
      <c r="G40" s="23">
        <v>23041</v>
      </c>
      <c r="H40" s="24"/>
      <c r="I40" s="25">
        <f t="shared" ref="I40:I67" si="16">C40/C$7*100</f>
        <v>2.5985869878623773</v>
      </c>
      <c r="J40" s="25">
        <f t="shared" ref="J40:J67" si="17">D40/D$7*100</f>
        <v>1.5263891239149296</v>
      </c>
      <c r="K40" s="25">
        <f t="shared" ref="K40:M67" si="18">E40/E$7*100</f>
        <v>7.0880836227445024E-2</v>
      </c>
      <c r="L40" s="25">
        <f t="shared" si="18"/>
        <v>0.50993760531676957</v>
      </c>
      <c r="M40" s="25">
        <f t="shared" si="18"/>
        <v>1.2265356715284133</v>
      </c>
      <c r="N40" s="26"/>
      <c r="O40" s="25">
        <f t="shared" ref="O40:O67" si="19">(C40-B40)/B40*100</f>
        <v>4.6024016641452343</v>
      </c>
      <c r="P40" s="25">
        <f t="shared" ref="P40:P67" si="20">(D40-C40)/C40*100</f>
        <v>-80.838851099410178</v>
      </c>
      <c r="Q40" s="57">
        <f t="shared" ref="Q40:Q66" si="21">(E40-D40)/D40*100</f>
        <v>-88.949168534025233</v>
      </c>
      <c r="R40" s="56" t="s">
        <v>137</v>
      </c>
      <c r="S40" s="56" t="s">
        <v>137</v>
      </c>
      <c r="T40" s="45" t="s">
        <v>77</v>
      </c>
      <c r="AU40" s="2"/>
      <c r="BC40" s="13"/>
    </row>
    <row r="41" spans="1:57" ht="18" customHeight="1">
      <c r="A41" s="22" t="s">
        <v>78</v>
      </c>
      <c r="B41" s="23">
        <v>34400</v>
      </c>
      <c r="C41" s="23">
        <v>37073</v>
      </c>
      <c r="D41" s="23">
        <v>5895</v>
      </c>
      <c r="E41" s="23">
        <v>6849</v>
      </c>
      <c r="F41" s="23">
        <v>35948</v>
      </c>
      <c r="G41" s="23">
        <v>36324</v>
      </c>
      <c r="H41" s="24"/>
      <c r="I41" s="25">
        <f t="shared" si="16"/>
        <v>2.1770675329602023</v>
      </c>
      <c r="J41" s="25">
        <f t="shared" si="17"/>
        <v>1.0612175829081862</v>
      </c>
      <c r="K41" s="25">
        <f t="shared" si="18"/>
        <v>0.5181033589346542</v>
      </c>
      <c r="L41" s="25">
        <f t="shared" si="18"/>
        <v>2.1457610951571149</v>
      </c>
      <c r="M41" s="25">
        <f t="shared" si="18"/>
        <v>1.9336262198948868</v>
      </c>
      <c r="N41" s="26"/>
      <c r="O41" s="25">
        <f t="shared" si="19"/>
        <v>7.7703488372093021</v>
      </c>
      <c r="P41" s="25">
        <f t="shared" si="20"/>
        <v>-84.098939929328623</v>
      </c>
      <c r="Q41" s="57">
        <f t="shared" si="21"/>
        <v>16.18320610687023</v>
      </c>
      <c r="R41" s="56" t="s">
        <v>137</v>
      </c>
      <c r="S41" s="57">
        <f t="shared" si="11"/>
        <v>1.0459552687214866</v>
      </c>
      <c r="T41" s="45" t="s">
        <v>79</v>
      </c>
      <c r="AU41" s="2"/>
      <c r="BC41" s="13"/>
    </row>
    <row r="42" spans="1:57" ht="18" customHeight="1">
      <c r="A42" s="22" t="s">
        <v>80</v>
      </c>
      <c r="B42" s="23">
        <v>22202</v>
      </c>
      <c r="C42" s="23">
        <v>21605</v>
      </c>
      <c r="D42" s="23">
        <v>2946</v>
      </c>
      <c r="E42" s="23">
        <v>703</v>
      </c>
      <c r="F42" s="23">
        <v>8479</v>
      </c>
      <c r="G42" s="23">
        <v>13551</v>
      </c>
      <c r="H42" s="24"/>
      <c r="I42" s="25">
        <f t="shared" si="16"/>
        <v>1.2687277546895361</v>
      </c>
      <c r="J42" s="25">
        <f t="shared" si="17"/>
        <v>0.53033876153477799</v>
      </c>
      <c r="K42" s="25">
        <f t="shared" si="18"/>
        <v>5.3179538813120444E-2</v>
      </c>
      <c r="L42" s="25">
        <f t="shared" si="18"/>
        <v>0.50611740085226375</v>
      </c>
      <c r="M42" s="25">
        <f t="shared" si="18"/>
        <v>0.72135692395649176</v>
      </c>
      <c r="N42" s="26"/>
      <c r="O42" s="25">
        <f t="shared" si="19"/>
        <v>-2.6889469417169622</v>
      </c>
      <c r="P42" s="25">
        <f t="shared" si="20"/>
        <v>-86.364267530664193</v>
      </c>
      <c r="Q42" s="57">
        <f t="shared" si="21"/>
        <v>-76.137135098438563</v>
      </c>
      <c r="R42" s="56" t="s">
        <v>137</v>
      </c>
      <c r="S42" s="57">
        <f t="shared" si="11"/>
        <v>59.818374808350036</v>
      </c>
      <c r="T42" s="45" t="s">
        <v>81</v>
      </c>
      <c r="V42" s="13"/>
      <c r="AU42" s="2"/>
      <c r="BC42" s="13"/>
    </row>
    <row r="43" spans="1:57" ht="18" customHeight="1">
      <c r="A43" s="22" t="s">
        <v>82</v>
      </c>
      <c r="B43" s="23">
        <v>5340</v>
      </c>
      <c r="C43" s="23">
        <v>6095</v>
      </c>
      <c r="D43" s="23">
        <v>2882</v>
      </c>
      <c r="E43" s="23">
        <v>13764</v>
      </c>
      <c r="F43" s="23">
        <v>9736</v>
      </c>
      <c r="G43" s="23">
        <v>7248</v>
      </c>
      <c r="H43" s="24"/>
      <c r="I43" s="25">
        <f t="shared" si="16"/>
        <v>0.35792157671060965</v>
      </c>
      <c r="J43" s="25">
        <f t="shared" si="17"/>
        <v>0.51881748497733549</v>
      </c>
      <c r="K43" s="25">
        <f t="shared" si="18"/>
        <v>1.0411993914989899</v>
      </c>
      <c r="L43" s="25">
        <f t="shared" si="18"/>
        <v>0.58114860416294845</v>
      </c>
      <c r="M43" s="25">
        <f t="shared" si="18"/>
        <v>0.38583093386736422</v>
      </c>
      <c r="N43" s="26"/>
      <c r="O43" s="25">
        <f t="shared" si="19"/>
        <v>14.138576779026218</v>
      </c>
      <c r="P43" s="25">
        <f t="shared" si="20"/>
        <v>-52.715340442986061</v>
      </c>
      <c r="Q43" s="56" t="s">
        <v>137</v>
      </c>
      <c r="R43" s="57">
        <f t="shared" si="11"/>
        <v>-29.264748619587326</v>
      </c>
      <c r="S43" s="57">
        <f t="shared" si="11"/>
        <v>-25.554642563681185</v>
      </c>
      <c r="T43" s="45" t="s">
        <v>83</v>
      </c>
      <c r="BC43" s="13"/>
    </row>
    <row r="44" spans="1:57" ht="18" customHeight="1">
      <c r="A44" s="22" t="s">
        <v>84</v>
      </c>
      <c r="B44" s="23">
        <v>11035</v>
      </c>
      <c r="C44" s="23">
        <v>8461</v>
      </c>
      <c r="D44" s="23">
        <v>1756</v>
      </c>
      <c r="E44" s="23">
        <v>5474</v>
      </c>
      <c r="F44" s="23">
        <v>5699</v>
      </c>
      <c r="G44" s="23">
        <v>7664</v>
      </c>
      <c r="H44" s="24"/>
      <c r="I44" s="25">
        <f t="shared" si="16"/>
        <v>0.4968620936092647</v>
      </c>
      <c r="J44" s="25">
        <f t="shared" si="17"/>
        <v>0.3161150255448304</v>
      </c>
      <c r="K44" s="25">
        <f t="shared" si="18"/>
        <v>0.41408932498296064</v>
      </c>
      <c r="L44" s="25">
        <f t="shared" si="18"/>
        <v>0.34017726942529203</v>
      </c>
      <c r="M44" s="25">
        <f t="shared" si="18"/>
        <v>0.40797575567873606</v>
      </c>
      <c r="N44" s="26"/>
      <c r="O44" s="25">
        <f t="shared" si="19"/>
        <v>-23.325781603987313</v>
      </c>
      <c r="P44" s="25">
        <f t="shared" si="20"/>
        <v>-79.245952015128239</v>
      </c>
      <c r="Q44" s="56" t="s">
        <v>137</v>
      </c>
      <c r="R44" s="57">
        <f t="shared" si="11"/>
        <v>4.1103397880891483</v>
      </c>
      <c r="S44" s="57">
        <f t="shared" si="11"/>
        <v>34.479733286541496</v>
      </c>
      <c r="T44" s="45" t="s">
        <v>85</v>
      </c>
      <c r="BC44" s="13"/>
    </row>
    <row r="45" spans="1:57" ht="18" customHeight="1">
      <c r="A45" s="22" t="s">
        <v>86</v>
      </c>
      <c r="B45" s="23">
        <v>13877</v>
      </c>
      <c r="C45" s="23">
        <v>14990</v>
      </c>
      <c r="D45" s="23">
        <v>2117</v>
      </c>
      <c r="E45" s="23">
        <v>1117</v>
      </c>
      <c r="F45" s="23">
        <v>15939</v>
      </c>
      <c r="G45" s="23">
        <v>11776</v>
      </c>
      <c r="H45" s="24"/>
      <c r="I45" s="25">
        <f t="shared" si="16"/>
        <v>0.88026980063856253</v>
      </c>
      <c r="J45" s="25">
        <f t="shared" si="17"/>
        <v>0.38110222612665484</v>
      </c>
      <c r="K45" s="25">
        <f t="shared" si="18"/>
        <v>8.449721885384856E-2</v>
      </c>
      <c r="L45" s="25">
        <f t="shared" si="18"/>
        <v>0.95140998374622388</v>
      </c>
      <c r="M45" s="25">
        <f t="shared" si="18"/>
        <v>0.62686880204498918</v>
      </c>
      <c r="N45" s="26"/>
      <c r="O45" s="25">
        <f t="shared" si="19"/>
        <v>8.0204655184838227</v>
      </c>
      <c r="P45" s="25">
        <f t="shared" si="20"/>
        <v>-85.877251501000657</v>
      </c>
      <c r="Q45" s="57">
        <f t="shared" si="21"/>
        <v>-47.236655644780349</v>
      </c>
      <c r="R45" s="56" t="s">
        <v>137</v>
      </c>
      <c r="S45" s="57">
        <f t="shared" si="11"/>
        <v>-26.118326118326117</v>
      </c>
      <c r="T45" s="45" t="s">
        <v>87</v>
      </c>
      <c r="V45" s="13"/>
      <c r="BC45" s="13"/>
    </row>
    <row r="46" spans="1:57" ht="18" customHeight="1">
      <c r="A46" s="22" t="s">
        <v>88</v>
      </c>
      <c r="B46" s="23">
        <v>12792</v>
      </c>
      <c r="C46" s="23">
        <v>13623</v>
      </c>
      <c r="D46" s="23">
        <v>2271</v>
      </c>
      <c r="E46" s="23">
        <v>2448</v>
      </c>
      <c r="F46" s="23">
        <v>9831</v>
      </c>
      <c r="G46" s="23">
        <v>12921</v>
      </c>
      <c r="H46" s="24"/>
      <c r="I46" s="25">
        <f t="shared" si="16"/>
        <v>0.79999436251495248</v>
      </c>
      <c r="J46" s="25">
        <f t="shared" si="17"/>
        <v>0.40882529784300103</v>
      </c>
      <c r="K46" s="25">
        <f t="shared" si="18"/>
        <v>0.18518280371908796</v>
      </c>
      <c r="L46" s="25">
        <f t="shared" si="18"/>
        <v>0.58681922016494925</v>
      </c>
      <c r="M46" s="25">
        <f t="shared" si="18"/>
        <v>0.68782029477100071</v>
      </c>
      <c r="N46" s="26"/>
      <c r="O46" s="25">
        <f t="shared" si="19"/>
        <v>6.4962476547842405</v>
      </c>
      <c r="P46" s="25">
        <f t="shared" si="20"/>
        <v>-83.329663069808419</v>
      </c>
      <c r="Q46" s="57">
        <f t="shared" si="21"/>
        <v>7.7939233817701457</v>
      </c>
      <c r="R46" s="56" t="s">
        <v>137</v>
      </c>
      <c r="S46" s="57">
        <f t="shared" si="11"/>
        <v>31.43118706133659</v>
      </c>
      <c r="T46" s="45" t="s">
        <v>89</v>
      </c>
      <c r="BC46" s="13"/>
    </row>
    <row r="47" spans="1:57" ht="18" customHeight="1">
      <c r="A47" s="22" t="s">
        <v>90</v>
      </c>
      <c r="B47" s="23">
        <v>12439</v>
      </c>
      <c r="C47" s="23">
        <v>14972</v>
      </c>
      <c r="D47" s="23">
        <v>2628</v>
      </c>
      <c r="E47" s="23">
        <v>186</v>
      </c>
      <c r="F47" s="23">
        <v>2259</v>
      </c>
      <c r="G47" s="65" t="s">
        <v>142</v>
      </c>
      <c r="H47" s="24"/>
      <c r="I47" s="25">
        <f t="shared" si="16"/>
        <v>0.87921277219216543</v>
      </c>
      <c r="J47" s="25">
        <f t="shared" si="17"/>
        <v>0.4730924186399853</v>
      </c>
      <c r="K47" s="25">
        <f t="shared" si="18"/>
        <v>1.4070262047283646E-2</v>
      </c>
      <c r="L47" s="25">
        <f t="shared" si="18"/>
        <v>0.13484127945810401</v>
      </c>
      <c r="M47" s="57" t="s">
        <v>142</v>
      </c>
      <c r="N47" s="26"/>
      <c r="O47" s="25">
        <f t="shared" si="19"/>
        <v>20.363373261516198</v>
      </c>
      <c r="P47" s="25">
        <f t="shared" si="20"/>
        <v>-82.447234838364949</v>
      </c>
      <c r="Q47" s="57" t="s">
        <v>142</v>
      </c>
      <c r="R47" s="56" t="s">
        <v>137</v>
      </c>
      <c r="S47" s="56" t="s">
        <v>137</v>
      </c>
      <c r="T47" s="45" t="s">
        <v>91</v>
      </c>
      <c r="BC47" s="13"/>
    </row>
    <row r="48" spans="1:57" ht="18" customHeight="1">
      <c r="A48" s="22" t="s">
        <v>92</v>
      </c>
      <c r="B48" s="23">
        <v>32436</v>
      </c>
      <c r="C48" s="23">
        <v>29211</v>
      </c>
      <c r="D48" s="23">
        <v>3468</v>
      </c>
      <c r="E48" s="23">
        <v>839</v>
      </c>
      <c r="F48" s="23">
        <v>15988</v>
      </c>
      <c r="G48" s="23">
        <v>17998</v>
      </c>
      <c r="H48" s="24"/>
      <c r="I48" s="25">
        <f t="shared" si="16"/>
        <v>1.7153809970949334</v>
      </c>
      <c r="J48" s="25">
        <f t="shared" si="17"/>
        <v>0.62430917345641901</v>
      </c>
      <c r="K48" s="25">
        <f t="shared" si="18"/>
        <v>6.3467472353069765E-2</v>
      </c>
      <c r="L48" s="25">
        <f t="shared" si="18"/>
        <v>0.95433482778936107</v>
      </c>
      <c r="M48" s="25">
        <f t="shared" si="18"/>
        <v>0.95808293981026782</v>
      </c>
      <c r="N48" s="26"/>
      <c r="O48" s="25">
        <f t="shared" si="19"/>
        <v>-9.942656307806141</v>
      </c>
      <c r="P48" s="25">
        <f t="shared" si="20"/>
        <v>-88.12776009037691</v>
      </c>
      <c r="Q48" s="57">
        <f t="shared" si="21"/>
        <v>-75.807381776239907</v>
      </c>
      <c r="R48" s="56" t="s">
        <v>137</v>
      </c>
      <c r="S48" s="57">
        <f t="shared" si="11"/>
        <v>12.571928946710031</v>
      </c>
      <c r="T48" s="45" t="s">
        <v>93</v>
      </c>
      <c r="BC48" s="13"/>
    </row>
    <row r="49" spans="1:57" ht="18" customHeight="1">
      <c r="A49" s="22" t="s">
        <v>94</v>
      </c>
      <c r="B49" s="23">
        <v>10984</v>
      </c>
      <c r="C49" s="23">
        <v>12096</v>
      </c>
      <c r="D49" s="23">
        <v>2667</v>
      </c>
      <c r="E49" s="23">
        <v>5328</v>
      </c>
      <c r="F49" s="23">
        <v>10928</v>
      </c>
      <c r="G49" s="23">
        <v>12416</v>
      </c>
      <c r="H49" s="24"/>
      <c r="I49" s="25">
        <f t="shared" si="16"/>
        <v>0.71032311597892284</v>
      </c>
      <c r="J49" s="25">
        <f t="shared" si="17"/>
        <v>0.48011319654217688</v>
      </c>
      <c r="K49" s="25">
        <f t="shared" si="18"/>
        <v>0.40304492574154444</v>
      </c>
      <c r="L49" s="25">
        <f t="shared" si="18"/>
        <v>0.65229991231436935</v>
      </c>
      <c r="M49" s="25">
        <f t="shared" si="18"/>
        <v>0.66093775867786897</v>
      </c>
      <c r="N49" s="26"/>
      <c r="O49" s="25">
        <f t="shared" si="19"/>
        <v>10.1238164603059</v>
      </c>
      <c r="P49" s="25">
        <f t="shared" si="20"/>
        <v>-77.951388888888886</v>
      </c>
      <c r="Q49" s="57">
        <f t="shared" si="21"/>
        <v>99.775028121484809</v>
      </c>
      <c r="R49" s="56" t="s">
        <v>137</v>
      </c>
      <c r="S49" s="57">
        <f t="shared" si="11"/>
        <v>13.616398243045388</v>
      </c>
      <c r="T49" s="45" t="s">
        <v>65</v>
      </c>
      <c r="BC49" s="13"/>
    </row>
    <row r="50" spans="1:57" s="13" customFormat="1" ht="18" customHeight="1">
      <c r="A50" s="27" t="s">
        <v>95</v>
      </c>
      <c r="B50" s="28">
        <f t="shared" ref="B50:D50" si="22">SUM(B51:B52)</f>
        <v>15354</v>
      </c>
      <c r="C50" s="28">
        <f t="shared" si="22"/>
        <v>18695</v>
      </c>
      <c r="D50" s="28">
        <f t="shared" si="22"/>
        <v>6458</v>
      </c>
      <c r="E50" s="28">
        <f t="shared" ref="E50:F50" si="23">SUM(E51:E52)</f>
        <v>27442</v>
      </c>
      <c r="F50" s="28">
        <f t="shared" si="23"/>
        <v>27951</v>
      </c>
      <c r="G50" s="28">
        <f t="shared" ref="G50" si="24">SUM(G51:G52)</f>
        <v>24222</v>
      </c>
      <c r="H50" s="29"/>
      <c r="I50" s="17">
        <f t="shared" si="16"/>
        <v>1.0978414891886543</v>
      </c>
      <c r="J50" s="17">
        <f t="shared" si="17"/>
        <v>1.1625688126244389</v>
      </c>
      <c r="K50" s="17">
        <f t="shared" si="18"/>
        <v>2.0758931779653644</v>
      </c>
      <c r="L50" s="17">
        <f t="shared" si="18"/>
        <v>1.6684146091781606</v>
      </c>
      <c r="M50" s="17">
        <f t="shared" si="18"/>
        <v>1.2894035430650244</v>
      </c>
      <c r="N50" s="20"/>
      <c r="O50" s="17">
        <f t="shared" si="19"/>
        <v>21.759802005991922</v>
      </c>
      <c r="P50" s="17">
        <f t="shared" si="20"/>
        <v>-65.456004279219044</v>
      </c>
      <c r="Q50" s="60" t="s">
        <v>137</v>
      </c>
      <c r="R50" s="57">
        <f t="shared" si="11"/>
        <v>1.8548210771809637</v>
      </c>
      <c r="S50" s="57">
        <f>(G50-F50)/F50*100</f>
        <v>-13.34120425029516</v>
      </c>
      <c r="T50" s="21" t="s">
        <v>96</v>
      </c>
      <c r="AH50" s="2"/>
      <c r="AI50" s="2"/>
      <c r="AJ50" s="2"/>
      <c r="AK50" s="2"/>
      <c r="AU50" s="51"/>
      <c r="BB50" s="2"/>
      <c r="BD50" s="2"/>
      <c r="BE50" s="2"/>
    </row>
    <row r="51" spans="1:57" ht="18" customHeight="1">
      <c r="A51" s="22" t="s">
        <v>97</v>
      </c>
      <c r="B51" s="23">
        <v>7751</v>
      </c>
      <c r="C51" s="23">
        <v>9545</v>
      </c>
      <c r="D51" s="23">
        <v>2685</v>
      </c>
      <c r="E51" s="23">
        <v>16347</v>
      </c>
      <c r="F51" s="23">
        <v>14840</v>
      </c>
      <c r="G51" s="23">
        <v>10078</v>
      </c>
      <c r="H51" s="24"/>
      <c r="I51" s="25">
        <f t="shared" si="16"/>
        <v>0.56051869560340761</v>
      </c>
      <c r="J51" s="25">
        <f t="shared" si="17"/>
        <v>0.48335355557395759</v>
      </c>
      <c r="K51" s="25">
        <f t="shared" si="18"/>
        <v>1.2365944821878803</v>
      </c>
      <c r="L51" s="25">
        <f t="shared" si="18"/>
        <v>0.88580991020728794</v>
      </c>
      <c r="M51" s="25">
        <f t="shared" si="18"/>
        <v>0.53647960147837981</v>
      </c>
      <c r="N51" s="26"/>
      <c r="O51" s="25">
        <f t="shared" si="19"/>
        <v>23.145400593471809</v>
      </c>
      <c r="P51" s="25">
        <f t="shared" si="20"/>
        <v>-71.870089051859608</v>
      </c>
      <c r="Q51" s="56" t="s">
        <v>137</v>
      </c>
      <c r="R51" s="57">
        <f t="shared" si="11"/>
        <v>-9.2188169083012159</v>
      </c>
      <c r="S51" s="57">
        <f t="shared" si="11"/>
        <v>-32.088948787061994</v>
      </c>
      <c r="T51" s="45" t="s">
        <v>98</v>
      </c>
      <c r="V51" s="13"/>
      <c r="BC51" s="13"/>
    </row>
    <row r="52" spans="1:57" ht="18" customHeight="1">
      <c r="A52" s="22" t="s">
        <v>99</v>
      </c>
      <c r="B52" s="23">
        <v>7603</v>
      </c>
      <c r="C52" s="23">
        <v>9150</v>
      </c>
      <c r="D52" s="23">
        <v>3773</v>
      </c>
      <c r="E52" s="23">
        <v>11095</v>
      </c>
      <c r="F52" s="23">
        <v>13111</v>
      </c>
      <c r="G52" s="23">
        <v>14144</v>
      </c>
      <c r="H52" s="24"/>
      <c r="I52" s="25">
        <f t="shared" si="16"/>
        <v>0.53732279358524671</v>
      </c>
      <c r="J52" s="25">
        <f t="shared" si="17"/>
        <v>0.67921525705048114</v>
      </c>
      <c r="K52" s="25">
        <f t="shared" si="18"/>
        <v>0.83929869577748406</v>
      </c>
      <c r="L52" s="25">
        <f t="shared" si="18"/>
        <v>0.78260469897087281</v>
      </c>
      <c r="M52" s="25">
        <f t="shared" si="18"/>
        <v>0.75292394158664455</v>
      </c>
      <c r="N52" s="26"/>
      <c r="O52" s="25">
        <f t="shared" si="19"/>
        <v>20.347231356043665</v>
      </c>
      <c r="P52" s="25">
        <f t="shared" si="20"/>
        <v>-58.765027322404372</v>
      </c>
      <c r="Q52" s="56" t="s">
        <v>137</v>
      </c>
      <c r="R52" s="57">
        <f t="shared" si="11"/>
        <v>18.170347003154575</v>
      </c>
      <c r="S52" s="57">
        <f t="shared" si="11"/>
        <v>7.8788803294943168</v>
      </c>
      <c r="T52" s="45" t="s">
        <v>65</v>
      </c>
      <c r="BC52" s="13"/>
    </row>
    <row r="53" spans="1:57" s="13" customFormat="1" ht="18" customHeight="1">
      <c r="A53" s="27" t="s">
        <v>100</v>
      </c>
      <c r="B53" s="28">
        <f t="shared" ref="B53" si="25">SUM(B54:B57)</f>
        <v>68764</v>
      </c>
      <c r="C53" s="28">
        <f>SUM(C54:C57)</f>
        <v>84794</v>
      </c>
      <c r="D53" s="28">
        <f>SUM(D54:D57)</f>
        <v>32060</v>
      </c>
      <c r="E53" s="28">
        <f>SUM(E54:E57)</f>
        <v>88879</v>
      </c>
      <c r="F53" s="28">
        <f>SUM(F54:F57)</f>
        <v>121140</v>
      </c>
      <c r="G53" s="28">
        <f>SUM(G54:G57)</f>
        <v>111483</v>
      </c>
      <c r="H53" s="29"/>
      <c r="I53" s="17">
        <f t="shared" si="16"/>
        <v>4.9794261157669304</v>
      </c>
      <c r="J53" s="17">
        <f t="shared" si="17"/>
        <v>5.7714394754938851</v>
      </c>
      <c r="K53" s="17">
        <f t="shared" si="18"/>
        <v>6.7233915080673281</v>
      </c>
      <c r="L53" s="17">
        <f t="shared" si="18"/>
        <v>7.2309307629724291</v>
      </c>
      <c r="M53" s="17">
        <f t="shared" si="18"/>
        <v>5.9345460817239744</v>
      </c>
      <c r="N53" s="20"/>
      <c r="O53" s="17">
        <f t="shared" si="19"/>
        <v>23.311616543540225</v>
      </c>
      <c r="P53" s="17">
        <f t="shared" si="20"/>
        <v>-62.190721041583132</v>
      </c>
      <c r="Q53" s="60" t="s">
        <v>137</v>
      </c>
      <c r="R53" s="58">
        <f t="shared" si="11"/>
        <v>36.297663115021543</v>
      </c>
      <c r="S53" s="58">
        <f t="shared" si="11"/>
        <v>-7.971768202080237</v>
      </c>
      <c r="T53" s="21" t="s">
        <v>101</v>
      </c>
      <c r="AH53" s="2"/>
      <c r="AI53" s="2"/>
      <c r="AJ53" s="2"/>
      <c r="AK53" s="2"/>
      <c r="AU53" s="51"/>
      <c r="BB53" s="2"/>
      <c r="BD53" s="2"/>
      <c r="BE53" s="2"/>
    </row>
    <row r="54" spans="1:57" ht="18" customHeight="1">
      <c r="A54" s="22" t="s">
        <v>102</v>
      </c>
      <c r="B54" s="23">
        <v>7702</v>
      </c>
      <c r="C54" s="23">
        <v>9868</v>
      </c>
      <c r="D54" s="23">
        <v>5497</v>
      </c>
      <c r="E54" s="23">
        <v>20512</v>
      </c>
      <c r="F54" s="23">
        <v>18637</v>
      </c>
      <c r="G54" s="23">
        <v>13709</v>
      </c>
      <c r="H54" s="24"/>
      <c r="I54" s="25">
        <f t="shared" si="16"/>
        <v>0.57948648383597978</v>
      </c>
      <c r="J54" s="25">
        <f t="shared" si="17"/>
        <v>0.98956964431659022</v>
      </c>
      <c r="K54" s="25">
        <f t="shared" si="18"/>
        <v>1.5516624468488287</v>
      </c>
      <c r="L54" s="25">
        <f t="shared" si="18"/>
        <v>1.1124554782030476</v>
      </c>
      <c r="M54" s="25">
        <f t="shared" si="18"/>
        <v>0.72976769762523408</v>
      </c>
      <c r="N54" s="26"/>
      <c r="O54" s="25">
        <f t="shared" si="19"/>
        <v>28.122565567385095</v>
      </c>
      <c r="P54" s="25">
        <f t="shared" si="20"/>
        <v>-44.294689906769356</v>
      </c>
      <c r="Q54" s="56" t="s">
        <v>137</v>
      </c>
      <c r="R54" s="57">
        <f t="shared" si="11"/>
        <v>-9.1409906396255849</v>
      </c>
      <c r="S54" s="57">
        <f t="shared" si="11"/>
        <v>-26.442023930890162</v>
      </c>
      <c r="T54" s="45" t="s">
        <v>103</v>
      </c>
      <c r="AU54" s="2"/>
      <c r="BC54" s="13"/>
    </row>
    <row r="55" spans="1:57" ht="18" customHeight="1">
      <c r="A55" s="22" t="s">
        <v>104</v>
      </c>
      <c r="B55" s="23">
        <v>9540</v>
      </c>
      <c r="C55" s="23">
        <v>11473</v>
      </c>
      <c r="D55" s="23">
        <v>3872</v>
      </c>
      <c r="E55" s="23">
        <v>6943</v>
      </c>
      <c r="F55" s="23">
        <v>11397</v>
      </c>
      <c r="G55" s="23">
        <v>12729</v>
      </c>
      <c r="H55" s="24"/>
      <c r="I55" s="25">
        <f t="shared" si="16"/>
        <v>0.67373818697306398</v>
      </c>
      <c r="J55" s="25">
        <f t="shared" si="17"/>
        <v>0.69703723172527521</v>
      </c>
      <c r="K55" s="25">
        <f t="shared" si="18"/>
        <v>0.52521413652844273</v>
      </c>
      <c r="L55" s="25">
        <f t="shared" si="18"/>
        <v>0.68029484815582619</v>
      </c>
      <c r="M55" s="25">
        <f t="shared" si="18"/>
        <v>0.67759960778113681</v>
      </c>
      <c r="N55" s="26"/>
      <c r="O55" s="25">
        <f t="shared" si="19"/>
        <v>20.262054507337528</v>
      </c>
      <c r="P55" s="25">
        <f t="shared" si="20"/>
        <v>-66.251198465963569</v>
      </c>
      <c r="Q55" s="57">
        <f t="shared" si="21"/>
        <v>79.313016528925615</v>
      </c>
      <c r="R55" s="57">
        <f t="shared" si="11"/>
        <v>64.15094339622641</v>
      </c>
      <c r="S55" s="57">
        <f t="shared" si="11"/>
        <v>11.687286127928402</v>
      </c>
      <c r="T55" s="45" t="s">
        <v>105</v>
      </c>
      <c r="AU55" s="2"/>
      <c r="BC55" s="13"/>
    </row>
    <row r="56" spans="1:57" ht="18" customHeight="1">
      <c r="A56" s="22" t="s">
        <v>106</v>
      </c>
      <c r="B56" s="23">
        <v>42901</v>
      </c>
      <c r="C56" s="23">
        <v>54474</v>
      </c>
      <c r="D56" s="23">
        <v>19759</v>
      </c>
      <c r="E56" s="23">
        <v>55760</v>
      </c>
      <c r="F56" s="23">
        <v>80697</v>
      </c>
      <c r="G56" s="23">
        <v>74838</v>
      </c>
      <c r="H56" s="24"/>
      <c r="I56" s="25">
        <f t="shared" si="16"/>
        <v>3.1989204216134133</v>
      </c>
      <c r="J56" s="25">
        <f t="shared" si="17"/>
        <v>3.557014117164182</v>
      </c>
      <c r="K56" s="25">
        <f t="shared" si="18"/>
        <v>4.2180527513792265</v>
      </c>
      <c r="L56" s="25">
        <f t="shared" si="18"/>
        <v>4.8168599948785387</v>
      </c>
      <c r="M56" s="25">
        <f t="shared" si="18"/>
        <v>3.9838321507679089</v>
      </c>
      <c r="N56" s="26"/>
      <c r="O56" s="25">
        <f t="shared" si="19"/>
        <v>26.976061164075432</v>
      </c>
      <c r="P56" s="25">
        <f t="shared" si="20"/>
        <v>-63.727649888019975</v>
      </c>
      <c r="Q56" s="56" t="s">
        <v>137</v>
      </c>
      <c r="R56" s="57">
        <f t="shared" si="11"/>
        <v>44.72202295552367</v>
      </c>
      <c r="S56" s="57">
        <f t="shared" si="11"/>
        <v>-7.2604929551284432</v>
      </c>
      <c r="T56" s="45" t="s">
        <v>107</v>
      </c>
      <c r="AU56" s="2"/>
      <c r="BC56" s="13"/>
    </row>
    <row r="57" spans="1:57" ht="18" customHeight="1">
      <c r="A57" s="22" t="s">
        <v>108</v>
      </c>
      <c r="B57" s="23">
        <v>8621</v>
      </c>
      <c r="C57" s="23">
        <v>8979</v>
      </c>
      <c r="D57" s="23">
        <v>2932</v>
      </c>
      <c r="E57" s="23">
        <v>5664</v>
      </c>
      <c r="F57" s="23">
        <v>10409</v>
      </c>
      <c r="G57" s="23">
        <v>10207</v>
      </c>
      <c r="H57" s="24"/>
      <c r="I57" s="25">
        <f t="shared" si="16"/>
        <v>0.52728102334447324</v>
      </c>
      <c r="J57" s="25">
        <f t="shared" si="17"/>
        <v>0.52781848228783745</v>
      </c>
      <c r="K57" s="25">
        <f t="shared" si="18"/>
        <v>0.42846217331083097</v>
      </c>
      <c r="L57" s="25">
        <f t="shared" si="18"/>
        <v>0.62132044173501755</v>
      </c>
      <c r="M57" s="25">
        <f t="shared" si="18"/>
        <v>0.5433466255496946</v>
      </c>
      <c r="N57" s="26"/>
      <c r="O57" s="25">
        <f t="shared" si="19"/>
        <v>4.1526505045818345</v>
      </c>
      <c r="P57" s="25">
        <f t="shared" si="20"/>
        <v>-67.346029624679801</v>
      </c>
      <c r="Q57" s="57">
        <f t="shared" si="21"/>
        <v>93.178717598908605</v>
      </c>
      <c r="R57" s="57">
        <f t="shared" si="11"/>
        <v>83.774717514124291</v>
      </c>
      <c r="S57" s="57">
        <f t="shared" si="11"/>
        <v>-1.940628302430589</v>
      </c>
      <c r="T57" s="45" t="s">
        <v>65</v>
      </c>
      <c r="AU57" s="2"/>
      <c r="BC57" s="13"/>
    </row>
    <row r="58" spans="1:57" s="13" customFormat="1" ht="18" customHeight="1">
      <c r="A58" s="27" t="s">
        <v>109</v>
      </c>
      <c r="B58" s="28">
        <f t="shared" ref="B58" si="26">SUM(B59:B61)</f>
        <v>40510</v>
      </c>
      <c r="C58" s="28">
        <f>SUM(C59:C61)</f>
        <v>44140</v>
      </c>
      <c r="D58" s="28">
        <f>SUM(D59:D61)</f>
        <v>7964</v>
      </c>
      <c r="E58" s="28">
        <f>SUM(E59:E61)</f>
        <v>4880</v>
      </c>
      <c r="F58" s="28">
        <f>SUM(F59:F61)</f>
        <v>27094</v>
      </c>
      <c r="G58" s="28">
        <f>SUM(G59:G61)</f>
        <v>36966</v>
      </c>
      <c r="H58" s="29"/>
      <c r="I58" s="17">
        <f t="shared" si="16"/>
        <v>2.5920686457762612</v>
      </c>
      <c r="J58" s="17">
        <f t="shared" si="17"/>
        <v>1.4336788516167591</v>
      </c>
      <c r="K58" s="17">
        <f t="shared" si="18"/>
        <v>0.36915526231582896</v>
      </c>
      <c r="L58" s="17">
        <f t="shared" si="18"/>
        <v>1.6172596837706374</v>
      </c>
      <c r="M58" s="17">
        <f t="shared" si="18"/>
        <v>1.9678016420172442</v>
      </c>
      <c r="N58" s="20"/>
      <c r="O58" s="17">
        <f t="shared" si="19"/>
        <v>8.9607504319921016</v>
      </c>
      <c r="P58" s="17">
        <f t="shared" si="20"/>
        <v>-81.957408246488455</v>
      </c>
      <c r="Q58" s="58">
        <f t="shared" si="21"/>
        <v>-38.724259166248117</v>
      </c>
      <c r="R58" s="56" t="s">
        <v>137</v>
      </c>
      <c r="S58" s="57">
        <f t="shared" si="11"/>
        <v>36.436111316158559</v>
      </c>
      <c r="T58" s="21" t="s">
        <v>110</v>
      </c>
      <c r="AH58" s="2"/>
      <c r="AI58" s="2"/>
      <c r="AJ58" s="2"/>
      <c r="AK58" s="2"/>
      <c r="BB58" s="2"/>
      <c r="BD58" s="2"/>
      <c r="BE58" s="2"/>
    </row>
    <row r="59" spans="1:57" ht="18" customHeight="1">
      <c r="A59" s="22" t="s">
        <v>111</v>
      </c>
      <c r="B59" s="23">
        <v>37254</v>
      </c>
      <c r="C59" s="23">
        <v>39928</v>
      </c>
      <c r="D59" s="23">
        <v>7220</v>
      </c>
      <c r="E59" s="23">
        <v>4077</v>
      </c>
      <c r="F59" s="23">
        <v>25049</v>
      </c>
      <c r="G59" s="23">
        <v>33684</v>
      </c>
      <c r="H59" s="24"/>
      <c r="I59" s="25">
        <f t="shared" si="16"/>
        <v>2.344723989319315</v>
      </c>
      <c r="J59" s="25">
        <f t="shared" si="17"/>
        <v>1.2997440116364893</v>
      </c>
      <c r="K59" s="25">
        <f t="shared" si="18"/>
        <v>0.3084110664880399</v>
      </c>
      <c r="L59" s="25">
        <f t="shared" si="18"/>
        <v>1.4951922129907247</v>
      </c>
      <c r="M59" s="25">
        <f t="shared" si="18"/>
        <v>1.7930917737842573</v>
      </c>
      <c r="N59" s="26"/>
      <c r="O59" s="25">
        <f t="shared" si="19"/>
        <v>7.177752724539646</v>
      </c>
      <c r="P59" s="25">
        <f t="shared" si="20"/>
        <v>-81.917451412542576</v>
      </c>
      <c r="Q59" s="57">
        <f t="shared" si="21"/>
        <v>-43.531855955678672</v>
      </c>
      <c r="R59" s="56" t="s">
        <v>137</v>
      </c>
      <c r="S59" s="57">
        <f t="shared" si="11"/>
        <v>34.472434029302569</v>
      </c>
      <c r="T59" s="45" t="s">
        <v>112</v>
      </c>
      <c r="AU59" s="2"/>
      <c r="BC59" s="13"/>
    </row>
    <row r="60" spans="1:57" ht="18" customHeight="1">
      <c r="A60" s="22" t="s">
        <v>113</v>
      </c>
      <c r="B60" s="23">
        <v>3200</v>
      </c>
      <c r="C60" s="23">
        <v>4082</v>
      </c>
      <c r="D60" s="23">
        <v>719</v>
      </c>
      <c r="E60" s="23">
        <v>685</v>
      </c>
      <c r="F60" s="23">
        <v>1888</v>
      </c>
      <c r="G60" s="23">
        <v>2912</v>
      </c>
      <c r="H60" s="24"/>
      <c r="I60" s="25">
        <f t="shared" si="16"/>
        <v>0.2397105621218554</v>
      </c>
      <c r="J60" s="25">
        <f t="shared" si="17"/>
        <v>0.1294343413250188</v>
      </c>
      <c r="K60" s="25">
        <f t="shared" si="18"/>
        <v>5.1817900550480092E-2</v>
      </c>
      <c r="L60" s="25">
        <f t="shared" si="18"/>
        <v>0.11269603170292179</v>
      </c>
      <c r="M60" s="25">
        <f t="shared" si="18"/>
        <v>0.15501375267960329</v>
      </c>
      <c r="N60" s="26"/>
      <c r="O60" s="25">
        <f t="shared" si="19"/>
        <v>27.5625</v>
      </c>
      <c r="P60" s="25">
        <f t="shared" si="20"/>
        <v>-82.386085252327291</v>
      </c>
      <c r="Q60" s="57">
        <f t="shared" si="21"/>
        <v>-4.7287899860917939</v>
      </c>
      <c r="R60" s="56" t="s">
        <v>137</v>
      </c>
      <c r="S60" s="57">
        <f t="shared" si="11"/>
        <v>54.237288135593218</v>
      </c>
      <c r="T60" s="45" t="s">
        <v>114</v>
      </c>
      <c r="AU60" s="2"/>
      <c r="BC60" s="13"/>
    </row>
    <row r="61" spans="1:57" ht="18" customHeight="1">
      <c r="A61" s="22" t="s">
        <v>115</v>
      </c>
      <c r="B61" s="23">
        <v>56</v>
      </c>
      <c r="C61" s="23">
        <v>130</v>
      </c>
      <c r="D61" s="23">
        <v>25</v>
      </c>
      <c r="E61" s="23">
        <v>118</v>
      </c>
      <c r="F61" s="23">
        <v>157</v>
      </c>
      <c r="G61" s="23">
        <v>370</v>
      </c>
      <c r="H61" s="24"/>
      <c r="I61" s="25">
        <f t="shared" si="16"/>
        <v>7.6340943350909369E-3</v>
      </c>
      <c r="J61" s="25">
        <f t="shared" si="17"/>
        <v>4.5004986552510022E-3</v>
      </c>
      <c r="K61" s="25">
        <f t="shared" si="18"/>
        <v>8.9262952773089786E-3</v>
      </c>
      <c r="L61" s="25">
        <f t="shared" si="18"/>
        <v>9.3714390769908482E-3</v>
      </c>
      <c r="M61" s="25">
        <f t="shared" si="18"/>
        <v>1.9696115553383658E-2</v>
      </c>
      <c r="N61" s="26"/>
      <c r="O61" s="25">
        <f t="shared" si="19"/>
        <v>132.14285714285714</v>
      </c>
      <c r="P61" s="25">
        <f t="shared" si="20"/>
        <v>-80.769230769230774</v>
      </c>
      <c r="Q61" s="56" t="s">
        <v>137</v>
      </c>
      <c r="R61" s="57">
        <f t="shared" si="11"/>
        <v>33.050847457627121</v>
      </c>
      <c r="S61" s="56" t="s">
        <v>137</v>
      </c>
      <c r="T61" s="45" t="s">
        <v>65</v>
      </c>
      <c r="AU61" s="2"/>
      <c r="BC61" s="13"/>
    </row>
    <row r="62" spans="1:57" s="13" customFormat="1" ht="18" customHeight="1">
      <c r="A62" s="27" t="s">
        <v>116</v>
      </c>
      <c r="B62" s="28">
        <f t="shared" ref="B62:G62" si="27">SUM(B63:B67)</f>
        <v>52114</v>
      </c>
      <c r="C62" s="28">
        <f t="shared" si="27"/>
        <v>60003</v>
      </c>
      <c r="D62" s="28">
        <f t="shared" si="27"/>
        <v>26288</v>
      </c>
      <c r="E62" s="28">
        <f t="shared" si="27"/>
        <v>91413</v>
      </c>
      <c r="F62" s="28">
        <f t="shared" si="27"/>
        <v>79963</v>
      </c>
      <c r="G62" s="28">
        <f t="shared" si="27"/>
        <v>80671</v>
      </c>
      <c r="H62" s="29"/>
      <c r="I62" s="17">
        <f t="shared" si="16"/>
        <v>3.5236043260650884</v>
      </c>
      <c r="J62" s="17">
        <f t="shared" si="17"/>
        <v>4.7323643459695335</v>
      </c>
      <c r="K62" s="17">
        <f t="shared" si="18"/>
        <v>6.9150799168190309</v>
      </c>
      <c r="L62" s="17">
        <f t="shared" si="18"/>
        <v>4.7730470249262371</v>
      </c>
      <c r="M62" s="17">
        <f t="shared" si="18"/>
        <v>4.2943387508297652</v>
      </c>
      <c r="N62" s="20"/>
      <c r="O62" s="17">
        <f t="shared" si="19"/>
        <v>15.13796676516867</v>
      </c>
      <c r="P62" s="17">
        <f t="shared" si="20"/>
        <v>-56.188857223805478</v>
      </c>
      <c r="Q62" s="60" t="s">
        <v>137</v>
      </c>
      <c r="R62" s="58">
        <f t="shared" si="11"/>
        <v>-12.525570761270281</v>
      </c>
      <c r="S62" s="58">
        <f t="shared" si="11"/>
        <v>0.88540950189462619</v>
      </c>
      <c r="T62" s="21" t="s">
        <v>117</v>
      </c>
      <c r="V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D62" s="2"/>
      <c r="BE62" s="2"/>
    </row>
    <row r="63" spans="1:57" ht="18" customHeight="1">
      <c r="A63" s="22" t="s">
        <v>118</v>
      </c>
      <c r="B63" s="23">
        <v>4559</v>
      </c>
      <c r="C63" s="23">
        <v>5420</v>
      </c>
      <c r="D63" s="23">
        <v>2816</v>
      </c>
      <c r="E63" s="23">
        <v>4731</v>
      </c>
      <c r="F63" s="23">
        <v>7934</v>
      </c>
      <c r="G63" s="23">
        <v>8647</v>
      </c>
      <c r="H63" s="24"/>
      <c r="I63" s="25">
        <f t="shared" si="16"/>
        <v>0.3182830099707144</v>
      </c>
      <c r="J63" s="25">
        <f t="shared" si="17"/>
        <v>0.50693616852747281</v>
      </c>
      <c r="K63" s="25">
        <f t="shared" si="18"/>
        <v>0.35788392336397273</v>
      </c>
      <c r="L63" s="25">
        <f t="shared" si="18"/>
        <v>0.47358597220920634</v>
      </c>
      <c r="M63" s="25">
        <f t="shared" si="18"/>
        <v>0.46030354375705002</v>
      </c>
      <c r="N63" s="26"/>
      <c r="O63" s="25">
        <f t="shared" si="19"/>
        <v>18.885720552752797</v>
      </c>
      <c r="P63" s="25">
        <f t="shared" si="20"/>
        <v>-48.044280442804428</v>
      </c>
      <c r="Q63" s="57">
        <f t="shared" si="21"/>
        <v>68.00426136363636</v>
      </c>
      <c r="R63" s="57">
        <f t="shared" si="11"/>
        <v>67.702388501373918</v>
      </c>
      <c r="S63" s="57">
        <f t="shared" si="11"/>
        <v>8.9866397781699003</v>
      </c>
      <c r="T63" s="45" t="s">
        <v>119</v>
      </c>
      <c r="AU63" s="2"/>
      <c r="BC63" s="13"/>
    </row>
    <row r="64" spans="1:57" ht="18" customHeight="1">
      <c r="A64" s="22" t="s">
        <v>120</v>
      </c>
      <c r="B64" s="23">
        <v>1898</v>
      </c>
      <c r="C64" s="23">
        <v>1940</v>
      </c>
      <c r="D64" s="23">
        <v>1049</v>
      </c>
      <c r="E64" s="23">
        <v>3632</v>
      </c>
      <c r="F64" s="23">
        <v>2701</v>
      </c>
      <c r="G64" s="23">
        <v>2998</v>
      </c>
      <c r="H64" s="24"/>
      <c r="I64" s="25">
        <f t="shared" si="16"/>
        <v>0.11392417700058784</v>
      </c>
      <c r="J64" s="25">
        <f t="shared" si="17"/>
        <v>0.18884092357433205</v>
      </c>
      <c r="K64" s="25">
        <f t="shared" si="18"/>
        <v>0.2747483427727645</v>
      </c>
      <c r="L64" s="25">
        <f t="shared" si="18"/>
        <v>0.16122456654109735</v>
      </c>
      <c r="M64" s="25">
        <f t="shared" si="18"/>
        <v>0.1595917687271465</v>
      </c>
      <c r="N64" s="26"/>
      <c r="O64" s="25">
        <f t="shared" si="19"/>
        <v>2.2128556375131718</v>
      </c>
      <c r="P64" s="25">
        <f t="shared" si="20"/>
        <v>-45.927835051546388</v>
      </c>
      <c r="Q64" s="56" t="s">
        <v>137</v>
      </c>
      <c r="R64" s="57">
        <f t="shared" si="11"/>
        <v>-25.633259911894275</v>
      </c>
      <c r="S64" s="57">
        <f t="shared" si="11"/>
        <v>10.995927434283599</v>
      </c>
      <c r="T64" s="45" t="s">
        <v>121</v>
      </c>
      <c r="AU64" s="2"/>
      <c r="BC64" s="13"/>
    </row>
    <row r="65" spans="1:55" ht="18" customHeight="1">
      <c r="A65" s="22" t="s">
        <v>122</v>
      </c>
      <c r="B65" s="23">
        <v>23540</v>
      </c>
      <c r="C65" s="23">
        <v>25865</v>
      </c>
      <c r="D65" s="23">
        <v>7578</v>
      </c>
      <c r="E65" s="23">
        <v>40014</v>
      </c>
      <c r="F65" s="23">
        <v>32384</v>
      </c>
      <c r="G65" s="23">
        <v>29963</v>
      </c>
      <c r="H65" s="24"/>
      <c r="I65" s="25">
        <f t="shared" si="16"/>
        <v>1.5188911536702083</v>
      </c>
      <c r="J65" s="25">
        <f t="shared" si="17"/>
        <v>1.3641911523796837</v>
      </c>
      <c r="K65" s="25">
        <f t="shared" si="18"/>
        <v>3.0269218578495041</v>
      </c>
      <c r="L65" s="25">
        <f t="shared" si="18"/>
        <v>1.9330234590399467</v>
      </c>
      <c r="M65" s="25">
        <f t="shared" si="18"/>
        <v>1.5950127306109043</v>
      </c>
      <c r="N65" s="26"/>
      <c r="O65" s="25">
        <f t="shared" si="19"/>
        <v>9.8768054375531023</v>
      </c>
      <c r="P65" s="25">
        <f t="shared" si="20"/>
        <v>-70.701720471679877</v>
      </c>
      <c r="Q65" s="56" t="s">
        <v>137</v>
      </c>
      <c r="R65" s="57">
        <f t="shared" si="11"/>
        <v>-19.068326085869948</v>
      </c>
      <c r="S65" s="57">
        <f t="shared" si="11"/>
        <v>-7.4759140316205537</v>
      </c>
      <c r="T65" s="45" t="s">
        <v>123</v>
      </c>
      <c r="AU65" s="2"/>
      <c r="BC65" s="13"/>
    </row>
    <row r="66" spans="1:55" ht="18" customHeight="1">
      <c r="A66" s="30" t="s">
        <v>124</v>
      </c>
      <c r="B66" s="23">
        <v>9018</v>
      </c>
      <c r="C66" s="23">
        <v>10493</v>
      </c>
      <c r="D66" s="23">
        <v>7368</v>
      </c>
      <c r="E66" s="23">
        <v>14095</v>
      </c>
      <c r="F66" s="23">
        <v>11456</v>
      </c>
      <c r="G66" s="23">
        <v>14043</v>
      </c>
      <c r="H66" s="24"/>
      <c r="I66" s="25">
        <f t="shared" si="16"/>
        <v>0.61618886044699384</v>
      </c>
      <c r="J66" s="25">
        <f t="shared" si="17"/>
        <v>1.3263869636755754</v>
      </c>
      <c r="K66" s="25">
        <f t="shared" si="18"/>
        <v>1.066238406217543</v>
      </c>
      <c r="L66" s="25">
        <f t="shared" si="18"/>
        <v>0.68381659914654247</v>
      </c>
      <c r="M66" s="25">
        <f t="shared" si="18"/>
        <v>0.74754743436801818</v>
      </c>
      <c r="N66" s="26"/>
      <c r="O66" s="25">
        <f t="shared" si="19"/>
        <v>16.356176535817255</v>
      </c>
      <c r="P66" s="25">
        <f t="shared" si="20"/>
        <v>-29.781759268083484</v>
      </c>
      <c r="Q66" s="57">
        <f t="shared" si="21"/>
        <v>91.300217155266012</v>
      </c>
      <c r="R66" s="57">
        <f t="shared" si="11"/>
        <v>-18.7229514012061</v>
      </c>
      <c r="S66" s="57">
        <f t="shared" si="11"/>
        <v>22.582053072625698</v>
      </c>
      <c r="T66" s="45" t="s">
        <v>125</v>
      </c>
      <c r="AU66" s="2"/>
      <c r="BC66" s="13"/>
    </row>
    <row r="67" spans="1:55" ht="18" customHeight="1">
      <c r="A67" s="31" t="s">
        <v>126</v>
      </c>
      <c r="B67" s="23">
        <v>13099</v>
      </c>
      <c r="C67" s="23">
        <v>16285</v>
      </c>
      <c r="D67" s="23">
        <v>7477</v>
      </c>
      <c r="E67" s="23">
        <v>28941</v>
      </c>
      <c r="F67" s="23">
        <v>25488</v>
      </c>
      <c r="G67" s="23">
        <v>25020</v>
      </c>
      <c r="H67" s="24"/>
      <c r="I67" s="25">
        <f t="shared" si="16"/>
        <v>0.95631712497658383</v>
      </c>
      <c r="J67" s="25">
        <f t="shared" si="17"/>
        <v>1.3460091378124697</v>
      </c>
      <c r="K67" s="25">
        <f t="shared" si="18"/>
        <v>2.1892873866152471</v>
      </c>
      <c r="L67" s="25">
        <f t="shared" si="18"/>
        <v>1.5213964279894443</v>
      </c>
      <c r="M67" s="25">
        <f t="shared" si="18"/>
        <v>1.3318832733666464</v>
      </c>
      <c r="N67" s="26"/>
      <c r="O67" s="25">
        <f t="shared" si="19"/>
        <v>24.322467363920911</v>
      </c>
      <c r="P67" s="25">
        <f t="shared" si="20"/>
        <v>-54.086582744857225</v>
      </c>
      <c r="Q67" s="56" t="s">
        <v>137</v>
      </c>
      <c r="R67" s="57">
        <f t="shared" si="11"/>
        <v>-11.931170312014098</v>
      </c>
      <c r="S67" s="57">
        <f t="shared" si="11"/>
        <v>-1.8361581920903955</v>
      </c>
      <c r="T67" s="47" t="s">
        <v>65</v>
      </c>
      <c r="AU67" s="2"/>
      <c r="BC67" s="13"/>
    </row>
    <row r="68" spans="1:55" ht="18" customHeight="1">
      <c r="A68" s="27" t="s">
        <v>127</v>
      </c>
      <c r="B68" s="23">
        <v>63</v>
      </c>
      <c r="C68" s="23">
        <v>138</v>
      </c>
      <c r="D68" s="23">
        <v>33</v>
      </c>
      <c r="E68" s="23">
        <v>27</v>
      </c>
      <c r="F68" s="23">
        <v>27</v>
      </c>
      <c r="G68" s="23">
        <v>23</v>
      </c>
      <c r="H68" s="24"/>
      <c r="I68" s="25">
        <f>C68/C$7*100</f>
        <v>8.1038847557119188E-3</v>
      </c>
      <c r="J68" s="25">
        <f>D68/D$7*100</f>
        <v>5.9406582249313224E-3</v>
      </c>
      <c r="K68" s="25">
        <f>E68/E$7*100</f>
        <v>2.0424573939605288E-3</v>
      </c>
      <c r="L68" s="25">
        <f>F68/F$7*100</f>
        <v>1.6116487584633943E-3</v>
      </c>
      <c r="M68" s="25">
        <f>G68/G$7*100</f>
        <v>1.2243531289941195E-3</v>
      </c>
      <c r="N68" s="26"/>
      <c r="O68" s="25">
        <v>0</v>
      </c>
      <c r="P68" s="25">
        <v>0</v>
      </c>
      <c r="Q68" s="57">
        <v>0</v>
      </c>
      <c r="R68" s="57">
        <f t="shared" si="11"/>
        <v>0</v>
      </c>
      <c r="S68" s="57">
        <f t="shared" si="11"/>
        <v>-14.814814814814813</v>
      </c>
      <c r="T68" s="21" t="s">
        <v>128</v>
      </c>
      <c r="AU68" s="2"/>
      <c r="BC68" s="13"/>
    </row>
    <row r="69" spans="1:55" ht="18" customHeight="1">
      <c r="A69" s="32" t="s">
        <v>129</v>
      </c>
      <c r="B69" s="33">
        <v>121</v>
      </c>
      <c r="C69" s="33">
        <v>178</v>
      </c>
      <c r="D69" s="33">
        <v>63</v>
      </c>
      <c r="E69" s="33">
        <v>290</v>
      </c>
      <c r="F69" s="33">
        <v>142</v>
      </c>
      <c r="G69" s="33">
        <v>93</v>
      </c>
      <c r="H69" s="34"/>
      <c r="I69" s="35">
        <f>C69/C$7*100</f>
        <v>1.045283685881682E-2</v>
      </c>
      <c r="J69" s="35">
        <f>D69/D$7*100</f>
        <v>1.1341256611232526E-2</v>
      </c>
      <c r="K69" s="35">
        <f>E69/E$7*100</f>
        <v>2.1937505342539017E-2</v>
      </c>
      <c r="L69" s="35">
        <f>F69/F$7*100</f>
        <v>8.4760786556222975E-3</v>
      </c>
      <c r="M69" s="35">
        <f>G69/G$7*100</f>
        <v>4.9506452607153521E-3</v>
      </c>
      <c r="N69" s="36"/>
      <c r="O69" s="35">
        <v>0</v>
      </c>
      <c r="P69" s="35">
        <v>0</v>
      </c>
      <c r="Q69" s="59">
        <v>0</v>
      </c>
      <c r="R69" s="59">
        <f t="shared" si="11"/>
        <v>-51.03448275862069</v>
      </c>
      <c r="S69" s="59">
        <f t="shared" si="11"/>
        <v>-34.507042253521128</v>
      </c>
      <c r="T69" s="48" t="s">
        <v>130</v>
      </c>
      <c r="AU69" s="2"/>
      <c r="BC69" s="13"/>
    </row>
    <row r="70" spans="1:55" ht="12" customHeight="1">
      <c r="A70" s="37" t="s">
        <v>131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9"/>
      <c r="P70" s="39"/>
      <c r="Q70" s="39"/>
      <c r="R70" s="39"/>
      <c r="S70" s="39"/>
      <c r="T70" s="64" t="s">
        <v>132</v>
      </c>
      <c r="AU70" s="2"/>
      <c r="BC70" s="13"/>
    </row>
    <row r="71" spans="1:55">
      <c r="A71" s="53" t="s">
        <v>136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9"/>
      <c r="P71" s="39"/>
      <c r="Q71" s="39"/>
      <c r="R71" s="39"/>
      <c r="S71" s="39"/>
      <c r="T71" s="40"/>
      <c r="AU71" s="2"/>
      <c r="BC71" s="13"/>
    </row>
    <row r="72" spans="1:55">
      <c r="A72" s="54" t="s">
        <v>135</v>
      </c>
      <c r="AU72" s="2"/>
      <c r="BC72" s="13"/>
    </row>
    <row r="73" spans="1:55">
      <c r="A73" s="55" t="s">
        <v>138</v>
      </c>
      <c r="AU73" s="2"/>
      <c r="BC73" s="13"/>
    </row>
    <row r="74" spans="1:55">
      <c r="AU74" s="2"/>
      <c r="BC74" s="13"/>
    </row>
    <row r="75" spans="1:55">
      <c r="AU75" s="2"/>
      <c r="BC75" s="13"/>
    </row>
    <row r="76" spans="1:55">
      <c r="AU76" s="2"/>
      <c r="BC76" s="13"/>
    </row>
    <row r="77" spans="1:55">
      <c r="AU77" s="2"/>
      <c r="BC77" s="13"/>
    </row>
    <row r="78" spans="1:55">
      <c r="AU78" s="2"/>
      <c r="BC78" s="13"/>
    </row>
    <row r="79" spans="1:55">
      <c r="AU79" s="2"/>
      <c r="BC79" s="13"/>
    </row>
    <row r="80" spans="1:55">
      <c r="AU80" s="2"/>
      <c r="BC80" s="13"/>
    </row>
    <row r="81" spans="24:55">
      <c r="AU81" s="2"/>
      <c r="BC81" s="13"/>
    </row>
    <row r="82" spans="24:55">
      <c r="AU82" s="2"/>
      <c r="BC82" s="13"/>
    </row>
    <row r="83" spans="24:55">
      <c r="AU83" s="2"/>
      <c r="BC83" s="13"/>
    </row>
    <row r="84" spans="24:55">
      <c r="AU84" s="2"/>
      <c r="BC84" s="13"/>
    </row>
    <row r="85" spans="24:55">
      <c r="AU85" s="2"/>
      <c r="BC85" s="13"/>
    </row>
    <row r="86" spans="24:55">
      <c r="AU86" s="2"/>
      <c r="BC86" s="13"/>
    </row>
    <row r="87" spans="24:55">
      <c r="AU87" s="2"/>
      <c r="BC87" s="13"/>
    </row>
    <row r="88" spans="24:55">
      <c r="AU88" s="2"/>
      <c r="BC88" s="13"/>
    </row>
    <row r="89" spans="24:55">
      <c r="AU89" s="2"/>
      <c r="BC89" s="13"/>
    </row>
    <row r="90" spans="24:55">
      <c r="X90" s="14"/>
      <c r="AU90" s="2"/>
      <c r="BC90" s="13"/>
    </row>
    <row r="91" spans="24:55">
      <c r="AU91" s="2"/>
      <c r="BC91" s="13"/>
    </row>
    <row r="92" spans="24:55">
      <c r="AU92" s="2"/>
      <c r="BC92" s="13"/>
    </row>
    <row r="93" spans="24:55">
      <c r="AU93" s="2"/>
      <c r="BC93" s="13"/>
    </row>
    <row r="94" spans="24:55">
      <c r="AU94" s="2"/>
      <c r="BC94" s="13"/>
    </row>
    <row r="95" spans="24:55">
      <c r="AU95" s="2"/>
      <c r="BC95" s="13"/>
    </row>
    <row r="96" spans="24:55">
      <c r="AU96" s="2"/>
      <c r="BC96" s="13"/>
    </row>
    <row r="97" spans="47:55">
      <c r="AU97" s="2"/>
      <c r="BC97" s="13"/>
    </row>
    <row r="98" spans="47:55">
      <c r="AU98" s="2"/>
      <c r="BC98" s="13"/>
    </row>
    <row r="99" spans="47:55">
      <c r="AU99" s="2"/>
      <c r="BC99" s="13"/>
    </row>
    <row r="100" spans="47:55">
      <c r="AU100" s="2"/>
      <c r="BC100" s="13"/>
    </row>
    <row r="101" spans="47:55">
      <c r="AU101" s="2"/>
      <c r="BC101" s="13"/>
    </row>
    <row r="102" spans="47:55">
      <c r="AU102" s="2"/>
      <c r="BC102" s="13"/>
    </row>
    <row r="103" spans="47:55">
      <c r="AU103" s="2"/>
      <c r="BC103" s="13"/>
    </row>
    <row r="104" spans="47:55">
      <c r="AU104" s="2"/>
      <c r="BC104" s="13"/>
    </row>
    <row r="105" spans="47:55">
      <c r="AU105" s="2"/>
      <c r="BC105" s="13"/>
    </row>
    <row r="106" spans="47:55">
      <c r="AU106" s="2"/>
      <c r="BC106" s="13"/>
    </row>
    <row r="107" spans="47:55">
      <c r="AU107" s="2"/>
      <c r="BC107" s="13"/>
    </row>
    <row r="108" spans="47:55">
      <c r="AU108" s="2"/>
      <c r="BC108" s="13"/>
    </row>
    <row r="109" spans="47:55">
      <c r="AU109" s="2"/>
      <c r="BC109" s="13"/>
    </row>
    <row r="110" spans="47:55">
      <c r="AU110" s="2"/>
      <c r="BC110" s="13"/>
    </row>
    <row r="111" spans="47:55">
      <c r="AU111" s="2"/>
      <c r="BC111" s="13"/>
    </row>
    <row r="112" spans="47:55">
      <c r="AU112" s="2"/>
      <c r="BC112" s="13"/>
    </row>
    <row r="113" spans="47:55">
      <c r="AU113" s="2"/>
      <c r="BC113" s="13"/>
    </row>
    <row r="114" spans="47:55">
      <c r="AU114" s="2"/>
      <c r="BC114" s="13"/>
    </row>
    <row r="115" spans="47:55">
      <c r="AU115" s="2"/>
      <c r="BC115" s="13"/>
    </row>
    <row r="116" spans="47:55">
      <c r="AU116" s="2"/>
      <c r="BC116" s="13"/>
    </row>
    <row r="117" spans="47:55">
      <c r="AU117" s="2"/>
      <c r="BC117" s="13"/>
    </row>
    <row r="118" spans="47:55">
      <c r="AU118" s="2"/>
      <c r="BC118" s="13"/>
    </row>
    <row r="119" spans="47:55">
      <c r="AU119" s="2"/>
      <c r="BC119" s="13"/>
    </row>
    <row r="120" spans="47:55">
      <c r="AU120" s="2"/>
      <c r="BC120" s="13"/>
    </row>
    <row r="121" spans="47:55">
      <c r="AU121" s="2"/>
      <c r="BC121" s="13"/>
    </row>
    <row r="122" spans="47:55">
      <c r="AU122" s="2"/>
      <c r="BC122" s="13"/>
    </row>
    <row r="123" spans="47:55">
      <c r="AU123" s="2"/>
      <c r="BC123" s="13"/>
    </row>
    <row r="124" spans="47:55">
      <c r="AU124" s="2"/>
      <c r="BC124" s="13"/>
    </row>
    <row r="125" spans="47:55">
      <c r="AU125" s="2"/>
      <c r="BC125" s="13"/>
    </row>
    <row r="126" spans="47:55">
      <c r="AU126" s="2"/>
      <c r="BC126" s="13"/>
    </row>
    <row r="127" spans="47:55">
      <c r="AU127" s="2"/>
      <c r="BC127" s="13"/>
    </row>
    <row r="128" spans="47:55">
      <c r="AU128" s="2"/>
      <c r="BC128" s="13"/>
    </row>
    <row r="129" spans="47:55">
      <c r="AU129" s="2"/>
      <c r="BC129" s="13"/>
    </row>
    <row r="130" spans="47:55">
      <c r="AU130" s="2"/>
      <c r="BC130" s="13"/>
    </row>
    <row r="131" spans="47:55">
      <c r="AU131" s="2"/>
      <c r="BC131" s="13"/>
    </row>
    <row r="132" spans="47:55">
      <c r="AU132" s="2"/>
      <c r="BC132" s="13"/>
    </row>
    <row r="133" spans="47:55">
      <c r="AU133" s="2"/>
      <c r="BC133" s="13"/>
    </row>
    <row r="134" spans="47:55">
      <c r="AU134" s="2"/>
      <c r="BC134" s="13"/>
    </row>
    <row r="135" spans="47:55">
      <c r="AU135" s="2"/>
      <c r="BC135" s="13"/>
    </row>
    <row r="136" spans="47:55">
      <c r="AU136" s="2"/>
      <c r="BC136" s="13"/>
    </row>
    <row r="137" spans="47:55">
      <c r="AU137" s="2"/>
      <c r="BC137" s="13"/>
    </row>
    <row r="138" spans="47:55">
      <c r="AU138" s="2"/>
      <c r="BC138" s="13"/>
    </row>
    <row r="139" spans="47:55">
      <c r="AU139" s="2"/>
      <c r="BC139" s="13"/>
    </row>
    <row r="140" spans="47:55">
      <c r="AU140" s="2"/>
      <c r="BC140" s="13"/>
    </row>
    <row r="141" spans="47:55">
      <c r="AU141" s="2"/>
      <c r="BC141" s="13"/>
    </row>
    <row r="142" spans="47:55">
      <c r="AU142" s="2"/>
      <c r="BC142" s="13"/>
    </row>
    <row r="143" spans="47:55">
      <c r="AU143" s="2"/>
      <c r="BC143" s="13"/>
    </row>
    <row r="144" spans="47:55">
      <c r="AU144" s="2"/>
      <c r="BC144" s="13"/>
    </row>
    <row r="145" spans="47:55">
      <c r="AU145" s="2"/>
      <c r="BC145" s="13"/>
    </row>
    <row r="146" spans="47:55">
      <c r="AU146" s="2"/>
      <c r="BC146" s="13"/>
    </row>
    <row r="147" spans="47:55">
      <c r="AU147" s="2"/>
      <c r="BC147" s="13"/>
    </row>
    <row r="148" spans="47:55">
      <c r="AU148" s="2"/>
      <c r="BC148" s="13"/>
    </row>
    <row r="149" spans="47:55">
      <c r="AU149" s="2"/>
      <c r="BC149" s="13"/>
    </row>
    <row r="150" spans="47:55">
      <c r="AU150" s="2"/>
      <c r="BC150" s="13"/>
    </row>
    <row r="151" spans="47:55">
      <c r="AU151" s="2"/>
      <c r="BC151" s="13"/>
    </row>
    <row r="152" spans="47:55">
      <c r="AU152" s="2"/>
      <c r="BC152" s="13"/>
    </row>
    <row r="153" spans="47:55">
      <c r="AU153" s="2"/>
      <c r="BC153" s="13"/>
    </row>
    <row r="154" spans="47:55">
      <c r="AU154" s="2"/>
      <c r="BC154" s="13"/>
    </row>
    <row r="155" spans="47:55">
      <c r="AU155" s="2"/>
      <c r="BC155" s="13"/>
    </row>
    <row r="156" spans="47:55">
      <c r="AU156" s="2"/>
      <c r="BC156" s="13"/>
    </row>
    <row r="157" spans="47:55">
      <c r="AU157" s="2"/>
      <c r="BC157" s="13"/>
    </row>
    <row r="158" spans="47:55">
      <c r="AU158" s="2"/>
      <c r="BC158" s="13"/>
    </row>
    <row r="159" spans="47:55">
      <c r="AU159" s="2"/>
      <c r="BC159" s="13"/>
    </row>
    <row r="160" spans="47:55">
      <c r="AU160" s="2"/>
      <c r="BC160" s="13"/>
    </row>
    <row r="161" spans="47:55">
      <c r="AU161" s="2"/>
      <c r="BC161" s="13"/>
    </row>
    <row r="162" spans="47:55">
      <c r="AU162" s="2"/>
      <c r="BC162" s="13"/>
    </row>
    <row r="163" spans="47:55">
      <c r="AU163" s="2"/>
      <c r="BC163" s="13"/>
    </row>
    <row r="164" spans="47:55">
      <c r="AU164" s="2"/>
      <c r="BC164" s="13"/>
    </row>
    <row r="165" spans="47:55">
      <c r="AU165" s="2"/>
      <c r="BC165" s="13"/>
    </row>
    <row r="166" spans="47:55">
      <c r="AU166" s="2"/>
      <c r="BC166" s="13"/>
    </row>
    <row r="167" spans="47:55">
      <c r="AU167" s="2"/>
      <c r="BC167" s="13"/>
    </row>
    <row r="168" spans="47:55">
      <c r="AU168" s="2"/>
      <c r="BC168" s="13"/>
    </row>
    <row r="169" spans="47:55">
      <c r="AU169" s="2"/>
      <c r="BC169" s="13"/>
    </row>
    <row r="170" spans="47:55">
      <c r="AU170" s="2"/>
      <c r="BC170" s="13"/>
    </row>
    <row r="171" spans="47:55">
      <c r="AU171" s="2"/>
      <c r="BC171" s="13"/>
    </row>
    <row r="172" spans="47:55">
      <c r="AU172" s="2"/>
      <c r="BC172" s="13"/>
    </row>
    <row r="173" spans="47:55">
      <c r="AU173" s="2"/>
      <c r="BC173" s="13"/>
    </row>
    <row r="174" spans="47:55">
      <c r="AU174" s="2"/>
      <c r="BC174" s="13"/>
    </row>
    <row r="175" spans="47:55">
      <c r="AU175" s="2"/>
      <c r="BC175" s="13"/>
    </row>
    <row r="176" spans="47:55">
      <c r="AU176" s="2"/>
      <c r="BC176" s="13"/>
    </row>
    <row r="177" spans="47:55">
      <c r="AU177" s="2"/>
      <c r="BC177" s="13"/>
    </row>
    <row r="178" spans="47:55">
      <c r="AU178" s="2"/>
      <c r="BC178" s="13"/>
    </row>
    <row r="179" spans="47:55">
      <c r="AU179" s="2"/>
      <c r="BC179" s="13"/>
    </row>
    <row r="180" spans="47:55">
      <c r="AU180" s="2"/>
      <c r="BC180" s="13"/>
    </row>
    <row r="181" spans="47:55">
      <c r="AU181" s="2"/>
      <c r="BC181" s="13"/>
    </row>
    <row r="182" spans="47:55">
      <c r="AU182" s="2"/>
      <c r="BC182" s="13"/>
    </row>
    <row r="183" spans="47:55">
      <c r="AU183" s="2"/>
      <c r="BC183" s="13"/>
    </row>
    <row r="184" spans="47:55">
      <c r="AU184" s="2"/>
      <c r="BC184" s="13"/>
    </row>
    <row r="185" spans="47:55">
      <c r="AU185" s="2"/>
      <c r="BC185" s="13"/>
    </row>
    <row r="186" spans="47:55">
      <c r="AU186" s="2"/>
      <c r="BC186" s="13"/>
    </row>
    <row r="187" spans="47:55">
      <c r="AU187" s="2"/>
      <c r="BC187" s="13"/>
    </row>
    <row r="188" spans="47:55">
      <c r="AU188" s="2"/>
      <c r="BC188" s="13"/>
    </row>
    <row r="189" spans="47:55">
      <c r="AU189" s="2"/>
      <c r="BC189" s="13"/>
    </row>
    <row r="190" spans="47:55">
      <c r="AU190" s="2"/>
      <c r="BC190" s="13"/>
    </row>
    <row r="191" spans="47:55">
      <c r="AU191" s="2"/>
      <c r="BC191" s="13"/>
    </row>
    <row r="192" spans="47:55">
      <c r="AU192" s="2"/>
      <c r="BC192" s="13"/>
    </row>
    <row r="193" spans="47:55">
      <c r="AU193" s="2"/>
      <c r="BC193" s="13"/>
    </row>
    <row r="194" spans="47:55">
      <c r="AU194" s="2"/>
      <c r="BC194" s="13"/>
    </row>
    <row r="195" spans="47:55">
      <c r="AU195" s="2"/>
      <c r="BC195" s="13"/>
    </row>
    <row r="196" spans="47:55">
      <c r="AU196" s="2"/>
      <c r="BC196" s="13"/>
    </row>
    <row r="197" spans="47:55">
      <c r="AU197" s="2"/>
      <c r="BC197" s="13"/>
    </row>
    <row r="198" spans="47:55">
      <c r="AU198" s="2"/>
      <c r="BC198" s="13"/>
    </row>
    <row r="199" spans="47:55">
      <c r="AU199" s="2"/>
      <c r="BC199" s="13"/>
    </row>
    <row r="200" spans="47:55">
      <c r="AU200" s="2"/>
      <c r="BC200" s="13"/>
    </row>
    <row r="201" spans="47:55">
      <c r="AU201" s="2"/>
      <c r="BC201" s="13"/>
    </row>
    <row r="202" spans="47:55">
      <c r="AU202" s="2"/>
      <c r="BC202" s="13"/>
    </row>
    <row r="203" spans="47:55">
      <c r="AU203" s="2"/>
      <c r="BC203" s="13"/>
    </row>
    <row r="204" spans="47:55">
      <c r="AU204" s="2"/>
      <c r="BC204" s="13"/>
    </row>
    <row r="205" spans="47:55">
      <c r="AU205" s="2"/>
      <c r="BC205" s="13"/>
    </row>
    <row r="206" spans="47:55">
      <c r="AU206" s="2"/>
      <c r="BC206" s="13"/>
    </row>
    <row r="207" spans="47:55">
      <c r="AU207" s="2"/>
      <c r="BC207" s="13"/>
    </row>
    <row r="208" spans="47:55">
      <c r="AU208" s="2"/>
      <c r="BC208" s="13"/>
    </row>
    <row r="209" spans="47:55">
      <c r="AU209" s="2"/>
      <c r="BC209" s="13"/>
    </row>
    <row r="210" spans="47:55">
      <c r="AU210" s="2"/>
      <c r="BC210" s="13"/>
    </row>
    <row r="211" spans="47:55">
      <c r="AU211" s="2"/>
      <c r="BC211" s="13"/>
    </row>
    <row r="212" spans="47:55">
      <c r="AU212" s="2"/>
      <c r="BC212" s="13"/>
    </row>
    <row r="213" spans="47:55">
      <c r="AU213" s="2"/>
      <c r="BC213" s="13"/>
    </row>
    <row r="214" spans="47:55">
      <c r="AU214" s="2"/>
      <c r="BC214" s="13"/>
    </row>
    <row r="215" spans="47:55">
      <c r="AU215" s="2"/>
      <c r="BC215" s="13"/>
    </row>
    <row r="216" spans="47:55">
      <c r="AU216" s="2"/>
      <c r="BC216" s="13"/>
    </row>
    <row r="217" spans="47:55">
      <c r="AU217" s="2"/>
      <c r="BC217" s="13"/>
    </row>
    <row r="218" spans="47:55">
      <c r="AU218" s="2"/>
      <c r="BC218" s="13"/>
    </row>
    <row r="219" spans="47:55">
      <c r="AU219" s="2"/>
      <c r="BC219" s="13"/>
    </row>
    <row r="220" spans="47:55">
      <c r="AU220" s="2"/>
      <c r="BC220" s="13"/>
    </row>
    <row r="221" spans="47:55">
      <c r="AU221" s="2"/>
      <c r="BC221" s="13"/>
    </row>
    <row r="222" spans="47:55">
      <c r="AU222" s="2"/>
      <c r="BC222" s="13"/>
    </row>
    <row r="223" spans="47:55">
      <c r="AU223" s="2"/>
      <c r="BC223" s="13"/>
    </row>
    <row r="224" spans="47:55">
      <c r="AU224" s="2"/>
      <c r="BC224" s="13"/>
    </row>
    <row r="225" spans="47:55">
      <c r="AU225" s="2"/>
      <c r="BC225" s="13"/>
    </row>
    <row r="226" spans="47:55">
      <c r="AU226" s="2"/>
      <c r="BC226" s="13"/>
    </row>
    <row r="227" spans="47:55">
      <c r="AU227" s="2"/>
      <c r="BC227" s="13"/>
    </row>
    <row r="228" spans="47:55">
      <c r="AU228" s="2"/>
      <c r="BC228" s="13"/>
    </row>
    <row r="229" spans="47:55">
      <c r="AU229" s="2"/>
      <c r="BC229" s="13"/>
    </row>
    <row r="230" spans="47:55">
      <c r="AU230" s="2"/>
      <c r="BC230" s="13"/>
    </row>
    <row r="231" spans="47:55">
      <c r="AU231" s="2"/>
      <c r="BC231" s="13"/>
    </row>
    <row r="232" spans="47:55">
      <c r="AU232" s="2"/>
      <c r="BC232" s="13"/>
    </row>
    <row r="233" spans="47:55">
      <c r="AU233" s="2"/>
      <c r="BC233" s="13"/>
    </row>
    <row r="234" spans="47:55">
      <c r="AU234" s="2"/>
      <c r="BC234" s="13"/>
    </row>
    <row r="235" spans="47:55">
      <c r="AU235" s="2"/>
      <c r="BC235" s="13"/>
    </row>
    <row r="236" spans="47:55">
      <c r="AU236" s="2"/>
      <c r="BC236" s="13"/>
    </row>
    <row r="237" spans="47:55">
      <c r="AU237" s="2"/>
      <c r="BC237" s="13"/>
    </row>
    <row r="238" spans="47:55">
      <c r="AU238" s="2"/>
      <c r="BC238" s="13"/>
    </row>
    <row r="239" spans="47:55">
      <c r="AU239" s="2"/>
      <c r="BC239" s="13"/>
    </row>
    <row r="240" spans="47:55">
      <c r="AU240" s="2"/>
      <c r="BC240" s="13"/>
    </row>
    <row r="241" spans="47:55">
      <c r="AU241" s="2"/>
      <c r="BC241" s="13"/>
    </row>
    <row r="242" spans="47:55">
      <c r="AU242" s="2"/>
      <c r="BC242" s="13"/>
    </row>
    <row r="243" spans="47:55">
      <c r="AU243" s="2"/>
      <c r="BC243" s="13"/>
    </row>
    <row r="244" spans="47:55">
      <c r="AU244" s="2"/>
      <c r="BC244" s="13"/>
    </row>
    <row r="245" spans="47:55">
      <c r="AU245" s="2"/>
      <c r="BC245" s="13"/>
    </row>
    <row r="246" spans="47:55">
      <c r="AU246" s="2"/>
      <c r="BC246" s="13"/>
    </row>
    <row r="247" spans="47:55">
      <c r="AU247" s="2"/>
      <c r="BC247" s="13"/>
    </row>
    <row r="248" spans="47:55">
      <c r="AU248" s="2"/>
      <c r="BC248" s="13"/>
    </row>
    <row r="249" spans="47:55">
      <c r="AU249" s="2"/>
      <c r="BC249" s="13"/>
    </row>
    <row r="250" spans="47:55">
      <c r="AU250" s="2"/>
      <c r="BC250" s="13"/>
    </row>
    <row r="251" spans="47:55">
      <c r="AU251" s="2"/>
      <c r="BC251" s="13"/>
    </row>
    <row r="252" spans="47:55">
      <c r="AU252" s="2"/>
      <c r="BC252" s="13"/>
    </row>
    <row r="253" spans="47:55">
      <c r="AU253" s="2"/>
      <c r="BC253" s="13"/>
    </row>
    <row r="254" spans="47:55">
      <c r="AU254" s="2"/>
      <c r="BC254" s="13"/>
    </row>
    <row r="255" spans="47:55">
      <c r="AU255" s="2"/>
      <c r="BC255" s="13"/>
    </row>
    <row r="256" spans="47:55">
      <c r="AU256" s="2"/>
      <c r="BC256" s="13"/>
    </row>
    <row r="257" spans="47:55">
      <c r="AU257" s="2"/>
      <c r="BC257" s="13"/>
    </row>
    <row r="258" spans="47:55">
      <c r="AU258" s="2"/>
      <c r="BC258" s="13"/>
    </row>
    <row r="259" spans="47:55">
      <c r="AU259" s="2"/>
      <c r="BC259" s="13"/>
    </row>
    <row r="260" spans="47:55">
      <c r="AU260" s="2"/>
      <c r="BC260" s="13"/>
    </row>
    <row r="261" spans="47:55">
      <c r="AU261" s="2"/>
      <c r="BC261" s="13"/>
    </row>
    <row r="262" spans="47:55">
      <c r="AU262" s="2"/>
      <c r="BC262" s="13"/>
    </row>
    <row r="263" spans="47:55">
      <c r="AU263" s="2"/>
      <c r="BC263" s="13"/>
    </row>
    <row r="264" spans="47:55">
      <c r="AU264" s="2"/>
      <c r="BC264" s="13"/>
    </row>
    <row r="265" spans="47:55">
      <c r="AU265" s="2"/>
      <c r="BC265" s="13"/>
    </row>
    <row r="266" spans="47:55">
      <c r="AU266" s="2"/>
      <c r="BC266" s="13"/>
    </row>
    <row r="267" spans="47:55">
      <c r="AU267" s="2"/>
      <c r="BC267" s="13"/>
    </row>
    <row r="268" spans="47:55">
      <c r="AU268" s="2"/>
      <c r="BC268" s="13"/>
    </row>
    <row r="269" spans="47:55">
      <c r="AU269" s="2"/>
      <c r="BC269" s="13"/>
    </row>
    <row r="270" spans="47:55">
      <c r="AU270" s="2"/>
      <c r="BC270" s="13"/>
    </row>
    <row r="271" spans="47:55">
      <c r="AU271" s="2"/>
      <c r="BC271" s="13"/>
    </row>
    <row r="272" spans="47:55">
      <c r="AU272" s="2"/>
      <c r="BC272" s="13"/>
    </row>
    <row r="273" spans="47:55">
      <c r="AU273" s="2"/>
      <c r="BC273" s="13"/>
    </row>
    <row r="274" spans="47:55">
      <c r="AU274" s="2"/>
      <c r="BC274" s="13"/>
    </row>
    <row r="275" spans="47:55">
      <c r="AU275" s="2"/>
      <c r="BC275" s="13"/>
    </row>
    <row r="276" spans="47:55">
      <c r="AU276" s="2"/>
      <c r="BC276" s="13"/>
    </row>
    <row r="277" spans="47:55">
      <c r="AU277" s="2"/>
      <c r="BC277" s="13"/>
    </row>
    <row r="278" spans="47:55">
      <c r="AU278" s="2"/>
      <c r="BC278" s="13"/>
    </row>
    <row r="279" spans="47:55">
      <c r="AU279" s="2"/>
      <c r="BC279" s="13"/>
    </row>
    <row r="280" spans="47:55">
      <c r="AU280" s="2"/>
      <c r="BC280" s="13"/>
    </row>
    <row r="281" spans="47:55">
      <c r="AU281" s="2"/>
      <c r="BC281" s="13"/>
    </row>
    <row r="282" spans="47:55">
      <c r="AU282" s="2"/>
      <c r="BC282" s="13"/>
    </row>
    <row r="283" spans="47:55">
      <c r="AU283" s="2"/>
      <c r="BC283" s="13"/>
    </row>
    <row r="284" spans="47:55">
      <c r="AU284" s="2"/>
      <c r="BC284" s="13"/>
    </row>
    <row r="285" spans="47:55">
      <c r="AU285" s="2"/>
      <c r="BC285" s="13"/>
    </row>
    <row r="286" spans="47:55">
      <c r="AU286" s="2"/>
      <c r="BC286" s="13"/>
    </row>
    <row r="287" spans="47:55">
      <c r="AU287" s="2"/>
      <c r="BC287" s="13"/>
    </row>
    <row r="288" spans="47:55">
      <c r="AU288" s="2"/>
      <c r="BC288" s="13"/>
    </row>
    <row r="289" spans="47:55">
      <c r="AU289" s="2"/>
      <c r="BC289" s="13"/>
    </row>
    <row r="290" spans="47:55">
      <c r="AU290" s="2"/>
      <c r="BC290" s="13"/>
    </row>
    <row r="291" spans="47:55">
      <c r="AU291" s="2"/>
      <c r="BC291" s="13"/>
    </row>
    <row r="292" spans="47:55">
      <c r="AU292" s="2"/>
      <c r="BC292" s="13"/>
    </row>
    <row r="293" spans="47:55">
      <c r="AU293" s="2"/>
      <c r="BC293" s="13"/>
    </row>
    <row r="294" spans="47:55">
      <c r="AU294" s="2"/>
      <c r="BC294" s="13"/>
    </row>
    <row r="295" spans="47:55">
      <c r="AU295" s="2"/>
      <c r="BC295" s="13"/>
    </row>
    <row r="296" spans="47:55">
      <c r="AU296" s="2"/>
      <c r="BC296" s="13"/>
    </row>
    <row r="297" spans="47:55">
      <c r="AU297" s="2"/>
      <c r="BC297" s="13"/>
    </row>
    <row r="298" spans="47:55">
      <c r="AU298" s="2"/>
      <c r="BC298" s="13"/>
    </row>
    <row r="299" spans="47:55">
      <c r="AU299" s="2"/>
      <c r="BC299" s="13"/>
    </row>
    <row r="300" spans="47:55">
      <c r="AU300" s="2"/>
      <c r="BC300" s="13"/>
    </row>
    <row r="301" spans="47:55">
      <c r="AU301" s="2"/>
      <c r="BC301" s="13"/>
    </row>
    <row r="302" spans="47:55">
      <c r="AU302" s="2"/>
      <c r="BC302" s="13"/>
    </row>
    <row r="303" spans="47:55">
      <c r="AU303" s="2"/>
      <c r="BC303" s="13"/>
    </row>
    <row r="304" spans="47:55">
      <c r="AU304" s="2"/>
      <c r="BC304" s="13"/>
    </row>
    <row r="305" spans="47:55">
      <c r="AU305" s="2"/>
      <c r="BC305" s="13"/>
    </row>
    <row r="306" spans="47:55">
      <c r="AU306" s="2"/>
      <c r="BC306" s="13"/>
    </row>
    <row r="307" spans="47:55">
      <c r="AU307" s="2"/>
      <c r="BC307" s="13"/>
    </row>
    <row r="308" spans="47:55">
      <c r="AU308" s="2"/>
      <c r="BC308" s="13"/>
    </row>
    <row r="309" spans="47:55">
      <c r="AU309" s="2"/>
      <c r="BC309" s="13"/>
    </row>
    <row r="310" spans="47:55">
      <c r="AU310" s="2"/>
      <c r="BC310" s="13"/>
    </row>
    <row r="311" spans="47:55">
      <c r="AU311" s="2"/>
      <c r="BC311" s="13"/>
    </row>
    <row r="312" spans="47:55">
      <c r="AU312" s="2"/>
      <c r="BC312" s="13"/>
    </row>
    <row r="313" spans="47:55">
      <c r="AU313" s="2"/>
      <c r="BC313" s="13"/>
    </row>
    <row r="314" spans="47:55">
      <c r="AU314" s="2"/>
      <c r="BC314" s="13"/>
    </row>
    <row r="315" spans="47:55">
      <c r="AU315" s="2"/>
      <c r="BC315" s="13"/>
    </row>
    <row r="316" spans="47:55">
      <c r="AU316" s="2"/>
      <c r="BC316" s="13"/>
    </row>
    <row r="317" spans="47:55">
      <c r="AU317" s="2"/>
      <c r="BC317" s="13"/>
    </row>
    <row r="318" spans="47:55">
      <c r="AU318" s="2"/>
      <c r="BC318" s="13"/>
    </row>
    <row r="319" spans="47:55">
      <c r="AU319" s="2"/>
      <c r="BC319" s="13"/>
    </row>
    <row r="320" spans="47:55">
      <c r="AU320" s="2"/>
      <c r="BC320" s="13"/>
    </row>
    <row r="321" spans="47:55">
      <c r="AU321" s="2"/>
      <c r="BC321" s="13"/>
    </row>
    <row r="322" spans="47:55">
      <c r="AU322" s="2"/>
      <c r="BC322" s="13"/>
    </row>
    <row r="323" spans="47:55">
      <c r="AU323" s="2"/>
      <c r="BC323" s="13"/>
    </row>
    <row r="324" spans="47:55">
      <c r="AU324" s="2"/>
      <c r="BC324" s="13"/>
    </row>
    <row r="325" spans="47:55">
      <c r="AU325" s="2"/>
      <c r="BC325" s="13"/>
    </row>
    <row r="326" spans="47:55">
      <c r="AU326" s="2"/>
      <c r="BC326" s="13"/>
    </row>
    <row r="327" spans="47:55">
      <c r="AU327" s="2"/>
      <c r="BC327" s="13"/>
    </row>
    <row r="328" spans="47:55">
      <c r="AU328" s="2"/>
      <c r="BC328" s="13"/>
    </row>
    <row r="329" spans="47:55">
      <c r="AU329" s="2"/>
      <c r="BC329" s="13"/>
    </row>
    <row r="330" spans="47:55">
      <c r="AU330" s="2"/>
      <c r="BC330" s="13"/>
    </row>
    <row r="331" spans="47:55">
      <c r="AU331" s="2"/>
      <c r="BC331" s="13"/>
    </row>
    <row r="332" spans="47:55">
      <c r="AU332" s="2"/>
      <c r="BC332" s="13"/>
    </row>
    <row r="333" spans="47:55">
      <c r="AU333" s="2"/>
      <c r="BC333" s="13"/>
    </row>
    <row r="334" spans="47:55">
      <c r="AU334" s="2"/>
      <c r="BC334" s="13"/>
    </row>
    <row r="335" spans="47:55">
      <c r="AU335" s="2"/>
      <c r="BC335" s="13"/>
    </row>
    <row r="336" spans="47:55">
      <c r="AU336" s="2"/>
      <c r="BC336" s="13"/>
    </row>
    <row r="337" spans="47:55">
      <c r="AU337" s="2"/>
      <c r="BC337" s="13"/>
    </row>
    <row r="338" spans="47:55">
      <c r="AU338" s="2"/>
      <c r="BC338" s="13"/>
    </row>
    <row r="339" spans="47:55">
      <c r="AU339" s="2"/>
      <c r="BC339" s="13"/>
    </row>
    <row r="340" spans="47:55">
      <c r="AU340" s="2"/>
      <c r="BC340" s="13"/>
    </row>
    <row r="341" spans="47:55">
      <c r="AU341" s="2"/>
      <c r="BC341" s="13"/>
    </row>
    <row r="342" spans="47:55">
      <c r="AU342" s="2"/>
      <c r="BC342" s="13"/>
    </row>
    <row r="343" spans="47:55">
      <c r="AU343" s="2"/>
      <c r="BC343" s="13"/>
    </row>
    <row r="344" spans="47:55">
      <c r="AU344" s="2"/>
      <c r="BC344" s="13"/>
    </row>
    <row r="345" spans="47:55">
      <c r="AU345" s="2"/>
      <c r="BC345" s="13"/>
    </row>
    <row r="346" spans="47:55">
      <c r="AU346" s="2"/>
      <c r="BC346" s="13"/>
    </row>
    <row r="347" spans="47:55">
      <c r="AU347" s="2"/>
      <c r="BC347" s="13"/>
    </row>
    <row r="348" spans="47:55">
      <c r="AU348" s="2"/>
      <c r="BC348" s="13"/>
    </row>
    <row r="349" spans="47:55">
      <c r="AU349" s="2"/>
      <c r="BC349" s="13"/>
    </row>
    <row r="350" spans="47:55">
      <c r="AU350" s="2"/>
      <c r="BC350" s="13"/>
    </row>
    <row r="351" spans="47:55">
      <c r="AU351" s="2"/>
      <c r="BC351" s="13"/>
    </row>
    <row r="352" spans="47:55">
      <c r="AU352" s="2"/>
      <c r="BC352" s="13"/>
    </row>
    <row r="353" spans="47:55">
      <c r="AU353" s="2"/>
      <c r="BC353" s="13"/>
    </row>
    <row r="354" spans="47:55">
      <c r="AU354" s="2"/>
      <c r="BC354" s="13"/>
    </row>
    <row r="355" spans="47:55">
      <c r="AU355" s="2"/>
      <c r="BC355" s="13"/>
    </row>
    <row r="356" spans="47:55">
      <c r="AU356" s="2"/>
      <c r="BC356" s="13"/>
    </row>
    <row r="357" spans="47:55">
      <c r="AU357" s="2"/>
      <c r="BC357" s="13"/>
    </row>
    <row r="358" spans="47:55">
      <c r="AU358" s="2"/>
      <c r="BC358" s="13"/>
    </row>
    <row r="359" spans="47:55">
      <c r="AU359" s="2"/>
      <c r="BC359" s="13"/>
    </row>
    <row r="360" spans="47:55">
      <c r="AU360" s="2"/>
      <c r="BC360" s="13"/>
    </row>
    <row r="361" spans="47:55">
      <c r="AU361" s="2"/>
      <c r="BC361" s="13"/>
    </row>
    <row r="362" spans="47:55">
      <c r="AU362" s="2"/>
      <c r="BC362" s="13"/>
    </row>
    <row r="363" spans="47:55">
      <c r="AU363" s="2"/>
      <c r="BC363" s="13"/>
    </row>
    <row r="364" spans="47:55">
      <c r="AU364" s="2"/>
      <c r="BC364" s="13"/>
    </row>
    <row r="365" spans="47:55">
      <c r="AU365" s="2"/>
      <c r="BC365" s="13"/>
    </row>
    <row r="366" spans="47:55">
      <c r="AU366" s="2"/>
      <c r="BC366" s="13"/>
    </row>
    <row r="367" spans="47:55">
      <c r="AU367" s="2"/>
      <c r="BC367" s="13"/>
    </row>
    <row r="368" spans="47:55">
      <c r="AU368" s="2"/>
      <c r="BC368" s="13"/>
    </row>
    <row r="369" spans="47:55">
      <c r="AU369" s="2"/>
      <c r="BC369" s="13"/>
    </row>
    <row r="370" spans="47:55">
      <c r="AU370" s="2"/>
      <c r="BC370" s="13"/>
    </row>
    <row r="371" spans="47:55">
      <c r="AU371" s="2"/>
      <c r="BC371" s="13"/>
    </row>
    <row r="372" spans="47:55">
      <c r="AU372" s="2"/>
      <c r="BC372" s="13"/>
    </row>
    <row r="373" spans="47:55">
      <c r="AU373" s="2"/>
      <c r="BC373" s="13"/>
    </row>
    <row r="374" spans="47:55">
      <c r="AU374" s="2"/>
      <c r="BC374" s="13"/>
    </row>
    <row r="375" spans="47:55">
      <c r="AU375" s="2"/>
      <c r="BC375" s="13"/>
    </row>
    <row r="376" spans="47:55">
      <c r="AU376" s="2"/>
    </row>
    <row r="377" spans="47:55">
      <c r="AU377" s="2"/>
    </row>
    <row r="378" spans="47:55">
      <c r="AU378" s="2"/>
    </row>
    <row r="379" spans="47:55">
      <c r="AU379" s="2"/>
    </row>
    <row r="380" spans="47:55">
      <c r="AU380" s="2"/>
    </row>
    <row r="381" spans="47:55">
      <c r="AU381" s="2"/>
    </row>
  </sheetData>
  <sortState xmlns:xlrd2="http://schemas.microsoft.com/office/spreadsheetml/2017/richdata2" ref="AM73:AU136">
    <sortCondition descending="1" ref="AU73:AU136"/>
  </sortState>
  <mergeCells count="9">
    <mergeCell ref="A1:T1"/>
    <mergeCell ref="A2:T2"/>
    <mergeCell ref="A4:A6"/>
    <mergeCell ref="C4:G4"/>
    <mergeCell ref="C5:G5"/>
    <mergeCell ref="I4:M4"/>
    <mergeCell ref="I5:M5"/>
    <mergeCell ref="O4:S4"/>
    <mergeCell ref="O5:S5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0" max="20" man="1"/>
  </rowBreaks>
  <ignoredErrors>
    <ignoredError sqref="B6:E6 F6:G6" numberStoredAsText="1"/>
    <ignoredError sqref="B62:C62 E62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2024-07-08T06:35:39Z</cp:lastPrinted>
  <dcterms:created xsi:type="dcterms:W3CDTF">2019-02-27T06:18:18Z</dcterms:created>
  <dcterms:modified xsi:type="dcterms:W3CDTF">2024-07-08T06:36:06Z</dcterms:modified>
</cp:coreProperties>
</file>