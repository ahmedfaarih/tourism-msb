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Tourism\"/>
    </mc:Choice>
  </mc:AlternateContent>
  <xr:revisionPtr revIDLastSave="0" documentId="13_ncr:1_{FC451024-73AA-47A8-9254-28876AE6C0A7}" xr6:coauthVersionLast="47" xr6:coauthVersionMax="47" xr10:uidLastSave="{00000000-0000-0000-0000-000000000000}"/>
  <bookViews>
    <workbookView xWindow="-120" yWindow="-120" windowWidth="29040" windowHeight="15720" tabRatio="853" xr2:uid="{00000000-000D-0000-FFFF-FFFF00000000}"/>
  </bookViews>
  <sheets>
    <sheet name="10.2" sheetId="2" r:id="rId1"/>
  </sheets>
  <externalReferences>
    <externalReference r:id="rId2"/>
  </externalReferences>
  <definedNames>
    <definedName name="_xlnm.Print_Area" localSheetId="0">'10.2'!$A$1:$O$52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4" i="2" l="1"/>
  <c r="M18" i="2"/>
  <c r="M12" i="2"/>
  <c r="M6" i="2"/>
  <c r="X46" i="2" l="1"/>
  <c r="X47" i="2"/>
  <c r="X44" i="2"/>
  <c r="X45" i="2"/>
  <c r="X40" i="2"/>
  <c r="X37" i="2"/>
  <c r="X38" i="2"/>
  <c r="X39" i="2"/>
  <c r="L12" i="2"/>
  <c r="L24" i="2" l="1"/>
  <c r="L18" i="2"/>
  <c r="L6" i="2"/>
  <c r="K12" i="2"/>
  <c r="K24" i="2" l="1"/>
  <c r="K18" i="2"/>
  <c r="K6" i="2"/>
  <c r="J24" i="2" l="1"/>
  <c r="J18" i="2" l="1"/>
  <c r="J12" i="2"/>
  <c r="J6" i="2"/>
  <c r="H12" i="2" l="1"/>
  <c r="I24" i="2" l="1"/>
  <c r="I18" i="2"/>
  <c r="I12" i="2"/>
  <c r="I6" i="2"/>
  <c r="H24" i="2" l="1"/>
  <c r="G24" i="2"/>
  <c r="F24" i="2"/>
  <c r="E24" i="2"/>
  <c r="D24" i="2"/>
  <c r="C24" i="2"/>
  <c r="B24" i="2"/>
  <c r="H18" i="2"/>
  <c r="G18" i="2"/>
  <c r="F18" i="2"/>
  <c r="E18" i="2"/>
  <c r="D18" i="2"/>
  <c r="C18" i="2"/>
  <c r="B18" i="2"/>
  <c r="G12" i="2"/>
  <c r="F12" i="2"/>
  <c r="E12" i="2"/>
  <c r="D12" i="2"/>
  <c r="C12" i="2"/>
  <c r="B12" i="2"/>
  <c r="H6" i="2"/>
  <c r="G6" i="2"/>
  <c r="F6" i="2"/>
  <c r="E6" i="2"/>
  <c r="D6" i="2"/>
  <c r="C6" i="2"/>
  <c r="B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Hasaanaa Hassan</author>
    <author>Aminath Manal</author>
  </authors>
  <commentList>
    <comment ref="K6" authorId="0" shapeId="0" xr:uid="{4C26A43C-D09E-468E-A1F4-79CF771E11D1}">
      <text>
        <r>
          <rPr>
            <sz val="9"/>
            <color indexed="81"/>
            <rFont val="Tahoma"/>
            <family val="2"/>
          </rPr>
          <t xml:space="preserve">
Revised on 19 Feb 23</t>
        </r>
      </text>
    </comment>
    <comment ref="K12" authorId="0" shapeId="0" xr:uid="{525693E1-1F03-4E5A-A93C-79991201D008}">
      <text>
        <r>
          <rPr>
            <sz val="9"/>
            <color indexed="81"/>
            <rFont val="Tahoma"/>
            <family val="2"/>
          </rPr>
          <t xml:space="preserve">
Revised on 05 Mar 23</t>
        </r>
      </text>
    </comment>
    <comment ref="I15" authorId="1" shapeId="0" xr:uid="{00000000-0006-0000-0100-000001000000}">
      <text>
        <r>
          <rPr>
            <sz val="9"/>
            <color indexed="81"/>
            <rFont val="Tahoma"/>
            <family val="2"/>
          </rPr>
          <t xml:space="preserve">
Revised on 12 Jul 2020</t>
        </r>
      </text>
    </comment>
    <comment ref="K18" authorId="0" shapeId="0" xr:uid="{B023A995-D77A-49B4-8E2F-CB8F9C07C5F6}">
      <text>
        <r>
          <rPr>
            <sz val="9"/>
            <color indexed="81"/>
            <rFont val="Tahoma"/>
            <family val="2"/>
          </rPr>
          <t xml:space="preserve">
Revised on 19 Feb 23</t>
        </r>
      </text>
    </comment>
    <comment ref="I21" authorId="1" shapeId="0" xr:uid="{00000000-0006-0000-0100-000002000000}">
      <text>
        <r>
          <rPr>
            <sz val="9"/>
            <color indexed="81"/>
            <rFont val="Tahoma"/>
            <family val="2"/>
          </rPr>
          <t xml:space="preserve">
Revised on 12 Jul 2020</t>
        </r>
      </text>
    </comment>
    <comment ref="K24" authorId="0" shapeId="0" xr:uid="{410AEB98-99BD-4C37-B0DA-81A47697A5A4}">
      <text>
        <r>
          <rPr>
            <sz val="9"/>
            <color indexed="81"/>
            <rFont val="Tahoma"/>
            <family val="2"/>
          </rPr>
          <t xml:space="preserve">
Revised on 19 Feb 23</t>
        </r>
      </text>
    </comment>
    <comment ref="I27" authorId="1" shapeId="0" xr:uid="{00000000-0006-0000-0100-000003000000}">
      <text>
        <r>
          <rPr>
            <sz val="9"/>
            <color indexed="81"/>
            <rFont val="Tahoma"/>
            <family val="2"/>
          </rPr>
          <t xml:space="preserve">
Revised on 12 Jul 2020</t>
        </r>
      </text>
    </comment>
  </commentList>
</comments>
</file>

<file path=xl/sharedStrings.xml><?xml version="1.0" encoding="utf-8"?>
<sst xmlns="http://schemas.openxmlformats.org/spreadsheetml/2006/main" count="74" uniqueCount="29">
  <si>
    <t>Total</t>
  </si>
  <si>
    <t>Source: Ministry of Tourism</t>
  </si>
  <si>
    <t>cmwzirUT cfoa IrcTcsinim :ctWrwf ivcaed utWmUluAwm</t>
  </si>
  <si>
    <t>Type</t>
  </si>
  <si>
    <t>ctwvWbegunwt</t>
  </si>
  <si>
    <t>Number of Beds (Registered)</t>
  </si>
  <si>
    <t>wgWj egudnea WviawfcSok IrcTcsijwr</t>
  </si>
  <si>
    <t>wlcmuj</t>
  </si>
  <si>
    <t>Resorts (including Marinas)</t>
  </si>
  <si>
    <t>ރިސޯޓްތައް (މެރީނާއާއި އެކު)</t>
  </si>
  <si>
    <t>Hotels</t>
  </si>
  <si>
    <t xml:space="preserve"> cawtWToh</t>
  </si>
  <si>
    <t>Guest Houses</t>
  </si>
  <si>
    <t>cawtegIluk</t>
  </si>
  <si>
    <t>Safari Vessels</t>
  </si>
  <si>
    <t>cawtudnwLua</t>
  </si>
  <si>
    <t>ބޭނުންކުރެވުނު އެނދުގެ އަދަދު</t>
  </si>
  <si>
    <t>No. of Establishments (Registered)</t>
  </si>
  <si>
    <t>ރެޖިސްޓްރީ ކުރެވިފައިވާ ތަންތަނުގެ އަދަދު</t>
  </si>
  <si>
    <t>cawtWToh</t>
  </si>
  <si>
    <t>No. Establishmentss in operation</t>
  </si>
  <si>
    <t>ބޭނުންކުރެވުނު ތަންތަނުގެ އަދަދު</t>
  </si>
  <si>
    <t>އެނދުގެ ޖާގައިން  ބޭނުންކުރެވުނު މިންވަރު %</t>
  </si>
  <si>
    <r>
      <t>Bed capacity utilization rate (%)</t>
    </r>
    <r>
      <rPr>
        <b/>
        <vertAlign val="superscript"/>
        <sz val="10"/>
        <rFont val="Calibri"/>
        <family val="2"/>
        <scheme val="minor"/>
      </rPr>
      <t xml:space="preserve"> </t>
    </r>
  </si>
  <si>
    <r>
      <t xml:space="preserve">No. of Beds in operation </t>
    </r>
    <r>
      <rPr>
        <b/>
        <vertAlign val="superscript"/>
        <sz val="10"/>
        <rFont val="Calibri"/>
        <family val="2"/>
        <scheme val="minor"/>
      </rPr>
      <t>1_/</t>
    </r>
  </si>
  <si>
    <t>ނޯޓް: /_1: 2021 ގެ މަޢުލޫމާތު އިސްލާޙުކުރެވިފައި</t>
  </si>
  <si>
    <t>Note:1_/: 2021 data revised</t>
  </si>
  <si>
    <t>Table  10.2 :  TOTAL REGISTERED BED CAPACITY AND NUMBER OF ACCOMMODATION ESTABLISHMENTS, BY TYPE, 2012 - 2023 (end year)</t>
  </si>
  <si>
    <t>2023- 2012 ,udwdwA egunwt iaWawlcmuj egiawgWj egudnea WviawfcSokIrwTcsijwr cnutwvWb egunwtcnwt Wviawfihejwmwh cmWzitcnia egumubit cnirevurutwf : 10.2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</si>
</sst>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71" formatCode="0.00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_Randhoo"/>
    </font>
    <font>
      <b/>
      <sz val="1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Helv"/>
    </font>
    <font>
      <i/>
      <sz val="9"/>
      <color theme="1"/>
      <name val="Calibri"/>
      <family val="2"/>
      <scheme val="minor"/>
    </font>
    <font>
      <sz val="9"/>
      <name val="Arial"/>
      <family val="2"/>
    </font>
    <font>
      <sz val="9"/>
      <name val="A_Randhoo"/>
    </font>
    <font>
      <b/>
      <sz val="11"/>
      <name val="A_Utheem"/>
    </font>
    <font>
      <b/>
      <sz val="12"/>
      <name val="A_Utheem"/>
    </font>
    <font>
      <b/>
      <sz val="9.5"/>
      <name val="A_Randhoo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.5"/>
      <name val="Faruma"/>
    </font>
    <font>
      <sz val="9.5"/>
      <name val="A_Randhoo"/>
    </font>
    <font>
      <b/>
      <vertAlign val="superscript"/>
      <sz val="10"/>
      <name val="Calibri"/>
      <family val="2"/>
      <scheme val="minor"/>
    </font>
    <font>
      <b/>
      <sz val="10"/>
      <color theme="1"/>
      <name val="Faruma"/>
    </font>
    <font>
      <b/>
      <sz val="9.5"/>
      <name val="Faruma"/>
    </font>
    <font>
      <sz val="10"/>
      <name val="A_Randhoo"/>
    </font>
    <font>
      <i/>
      <sz val="9"/>
      <name val="Arial"/>
      <family val="2"/>
    </font>
    <font>
      <sz val="9.5"/>
      <name val="Calibri"/>
      <family val="2"/>
      <scheme val="minor"/>
    </font>
    <font>
      <sz val="9"/>
      <color indexed="81"/>
      <name val="Tahoma"/>
      <family val="2"/>
    </font>
    <font>
      <sz val="10"/>
      <name val="Courier"/>
      <family val="3"/>
    </font>
    <font>
      <sz val="9"/>
      <name val="Faruma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sz val="10"/>
      <name val="Times New Roman"/>
      <family val="1"/>
    </font>
    <font>
      <b/>
      <sz val="10"/>
      <name val="A_Faseyha"/>
    </font>
    <font>
      <sz val="11"/>
      <color theme="1"/>
      <name val="A_Faseyha"/>
    </font>
    <font>
      <sz val="10"/>
      <name val="A_Faseyha"/>
    </font>
    <font>
      <sz val="9"/>
      <name val="A_Faseyha"/>
    </font>
    <font>
      <b/>
      <sz val="11"/>
      <name val="A_Faseyha"/>
    </font>
    <font>
      <b/>
      <sz val="9.5"/>
      <name val="A_Faseyha"/>
    </font>
    <font>
      <sz val="9.5"/>
      <name val="A_Faseyha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  <font>
      <sz val="9"/>
      <name val="A_Haleem Sameydhaan Rasmee"/>
      <family val="2"/>
      <charset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76">
    <xf numFmtId="0" fontId="0" fillId="0" borderId="0"/>
    <xf numFmtId="9" fontId="1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28" fillId="0" borderId="0"/>
    <xf numFmtId="0" fontId="5" fillId="0" borderId="0"/>
    <xf numFmtId="43" fontId="5" fillId="0" borderId="0" applyFont="0" applyFill="0" applyBorder="0" applyAlignment="0" applyProtection="0"/>
    <xf numFmtId="171" fontId="29" fillId="0" borderId="0"/>
    <xf numFmtId="1" fontId="30" fillId="0" borderId="5" applyNumberFormat="0"/>
    <xf numFmtId="0" fontId="5" fillId="0" borderId="0"/>
    <xf numFmtId="0" fontId="1" fillId="0" borderId="0"/>
    <xf numFmtId="0" fontId="5" fillId="0" borderId="0"/>
    <xf numFmtId="9" fontId="5" fillId="0" borderId="0" applyFont="0" applyFill="0" applyBorder="0" applyAlignment="0" applyProtection="0"/>
    <xf numFmtId="0" fontId="28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7" fillId="0" borderId="0"/>
    <xf numFmtId="40" fontId="7" fillId="0" borderId="0" applyFont="0" applyFill="0" applyBorder="0" applyAlignment="0" applyProtection="0"/>
    <xf numFmtId="0" fontId="7" fillId="0" borderId="0"/>
    <xf numFmtId="0" fontId="5" fillId="0" borderId="0"/>
    <xf numFmtId="1" fontId="30" fillId="0" borderId="5" applyNumberFormat="0"/>
    <xf numFmtId="0" fontId="1" fillId="0" borderId="0"/>
    <xf numFmtId="0" fontId="7" fillId="0" borderId="0"/>
    <xf numFmtId="0" fontId="40" fillId="0" borderId="0" applyFill="0" applyProtection="0"/>
    <xf numFmtId="1" fontId="30" fillId="0" borderId="5" applyNumberFormat="0"/>
    <xf numFmtId="43" fontId="1" fillId="0" borderId="0" applyFont="0" applyFill="0" applyBorder="0" applyAlignment="0" applyProtection="0"/>
    <xf numFmtId="0" fontId="1" fillId="0" borderId="0"/>
    <xf numFmtId="0" fontId="41" fillId="0" borderId="0"/>
    <xf numFmtId="0" fontId="42" fillId="0" borderId="0"/>
    <xf numFmtId="0" fontId="41" fillId="0" borderId="0"/>
    <xf numFmtId="0" fontId="1" fillId="0" borderId="0"/>
    <xf numFmtId="0" fontId="7" fillId="0" borderId="0"/>
    <xf numFmtId="0" fontId="40" fillId="0" borderId="0" applyFill="0" applyProtection="0"/>
    <xf numFmtId="1" fontId="30" fillId="0" borderId="5" applyNumberFormat="0"/>
    <xf numFmtId="0" fontId="1" fillId="0" borderId="0"/>
    <xf numFmtId="0" fontId="5" fillId="0" borderId="0"/>
    <xf numFmtId="0" fontId="41" fillId="0" borderId="0"/>
    <xf numFmtId="0" fontId="42" fillId="0" borderId="0"/>
    <xf numFmtId="0" fontId="5" fillId="0" borderId="0"/>
    <xf numFmtId="0" fontId="41" fillId="0" borderId="0"/>
    <xf numFmtId="0" fontId="43" fillId="0" borderId="0"/>
    <xf numFmtId="0" fontId="41" fillId="0" borderId="0"/>
    <xf numFmtId="0" fontId="4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7" fillId="0" borderId="0" applyFont="0" applyFill="0" applyBorder="0" applyAlignment="0" applyProtection="0"/>
    <xf numFmtId="0" fontId="1" fillId="0" borderId="0"/>
    <xf numFmtId="0" fontId="43" fillId="0" borderId="0" applyBorder="0"/>
    <xf numFmtId="0" fontId="1" fillId="0" borderId="0"/>
    <xf numFmtId="40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43" fillId="0" borderId="0" applyBorder="0"/>
    <xf numFmtId="0" fontId="1" fillId="0" borderId="0"/>
    <xf numFmtId="0" fontId="1" fillId="0" borderId="0"/>
    <xf numFmtId="1" fontId="30" fillId="0" borderId="5" applyNumberFormat="0"/>
    <xf numFmtId="1" fontId="30" fillId="0" borderId="5" applyNumberFormat="0"/>
    <xf numFmtId="1" fontId="30" fillId="0" borderId="5" applyNumberFormat="0"/>
    <xf numFmtId="1" fontId="30" fillId="0" borderId="5" applyNumberFormat="0"/>
    <xf numFmtId="1" fontId="30" fillId="0" borderId="5" applyNumberFormat="0"/>
    <xf numFmtId="1" fontId="30" fillId="0" borderId="5" applyNumberFormat="0"/>
    <xf numFmtId="1" fontId="30" fillId="0" borderId="5" applyNumberFormat="0"/>
    <xf numFmtId="0" fontId="1" fillId="0" borderId="0"/>
    <xf numFmtId="0" fontId="1" fillId="0" borderId="0"/>
    <xf numFmtId="0" fontId="43" fillId="0" borderId="0" applyBorder="0"/>
    <xf numFmtId="0" fontId="43" fillId="0" borderId="0"/>
    <xf numFmtId="0" fontId="1" fillId="0" borderId="0"/>
    <xf numFmtId="0" fontId="7" fillId="0" borderId="0"/>
    <xf numFmtId="0" fontId="7" fillId="0" borderId="0"/>
    <xf numFmtId="1" fontId="30" fillId="0" borderId="5" applyNumberFormat="0"/>
  </cellStyleXfs>
  <cellXfs count="74">
    <xf numFmtId="0" fontId="0" fillId="0" borderId="0" xfId="0"/>
    <xf numFmtId="0" fontId="0" fillId="2" borderId="0" xfId="0" applyFill="1"/>
    <xf numFmtId="0" fontId="4" fillId="2" borderId="0" xfId="0" applyFont="1" applyFill="1" applyAlignment="1">
      <alignment horizontal="center" vertical="center"/>
    </xf>
    <xf numFmtId="0" fontId="5" fillId="2" borderId="0" xfId="0" applyFont="1" applyFill="1"/>
    <xf numFmtId="0" fontId="6" fillId="2" borderId="3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right" vertical="center"/>
    </xf>
    <xf numFmtId="0" fontId="1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6" fillId="2" borderId="3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6" fillId="2" borderId="0" xfId="0" applyFont="1" applyFill="1" applyAlignment="1">
      <alignment horizontal="left" vertical="center"/>
    </xf>
    <xf numFmtId="3" fontId="6" fillId="2" borderId="0" xfId="0" applyNumberFormat="1" applyFont="1" applyFill="1" applyAlignment="1">
      <alignment vertical="center" wrapText="1"/>
    </xf>
    <xf numFmtId="0" fontId="13" fillId="2" borderId="0" xfId="0" applyFont="1" applyFill="1" applyAlignment="1">
      <alignment horizontal="right" vertical="center" wrapText="1"/>
    </xf>
    <xf numFmtId="0" fontId="9" fillId="2" borderId="0" xfId="0" applyFont="1" applyFill="1"/>
    <xf numFmtId="3" fontId="15" fillId="2" borderId="0" xfId="0" applyNumberFormat="1" applyFont="1" applyFill="1" applyAlignment="1">
      <alignment horizontal="right" vertical="center"/>
    </xf>
    <xf numFmtId="0" fontId="13" fillId="2" borderId="0" xfId="0" applyFont="1" applyFill="1" applyAlignment="1">
      <alignment horizontal="right" vertical="center"/>
    </xf>
    <xf numFmtId="0" fontId="14" fillId="2" borderId="0" xfId="0" applyFont="1" applyFill="1" applyAlignment="1">
      <alignment horizontal="left" vertical="center" indent="1"/>
    </xf>
    <xf numFmtId="3" fontId="16" fillId="2" borderId="0" xfId="0" applyNumberFormat="1" applyFont="1" applyFill="1" applyAlignment="1">
      <alignment vertical="center"/>
    </xf>
    <xf numFmtId="0" fontId="17" fillId="2" borderId="0" xfId="0" applyFont="1" applyFill="1" applyAlignment="1">
      <alignment horizontal="right" vertical="center" indent="1"/>
    </xf>
    <xf numFmtId="9" fontId="18" fillId="2" borderId="0" xfId="1" applyFont="1" applyFill="1" applyBorder="1" applyAlignment="1">
      <alignment horizontal="right" vertical="center"/>
    </xf>
    <xf numFmtId="3" fontId="18" fillId="2" borderId="0" xfId="0" applyNumberFormat="1" applyFont="1" applyFill="1" applyAlignment="1">
      <alignment horizontal="right" vertical="center"/>
    </xf>
    <xf numFmtId="0" fontId="18" fillId="2" borderId="0" xfId="0" applyFont="1" applyFill="1" applyAlignment="1">
      <alignment horizontal="right" vertical="center"/>
    </xf>
    <xf numFmtId="2" fontId="9" fillId="2" borderId="0" xfId="0" applyNumberFormat="1" applyFont="1" applyFill="1"/>
    <xf numFmtId="3" fontId="16" fillId="2" borderId="0" xfId="0" applyNumberFormat="1" applyFont="1" applyFill="1"/>
    <xf numFmtId="0" fontId="18" fillId="2" borderId="0" xfId="0" applyFont="1" applyFill="1" applyAlignment="1">
      <alignment horizontal="right" vertical="center" indent="1"/>
    </xf>
    <xf numFmtId="0" fontId="14" fillId="2" borderId="4" xfId="0" applyFont="1" applyFill="1" applyBorder="1" applyAlignment="1">
      <alignment horizontal="left" vertical="center" indent="1"/>
    </xf>
    <xf numFmtId="3" fontId="16" fillId="2" borderId="4" xfId="0" applyNumberFormat="1" applyFont="1" applyFill="1" applyBorder="1" applyAlignment="1">
      <alignment vertical="center"/>
    </xf>
    <xf numFmtId="37" fontId="20" fillId="2" borderId="0" xfId="0" applyNumberFormat="1" applyFont="1" applyFill="1" applyAlignment="1">
      <alignment horizontal="right" vertical="center" wrapText="1"/>
    </xf>
    <xf numFmtId="0" fontId="14" fillId="2" borderId="2" xfId="0" applyFont="1" applyFill="1" applyBorder="1" applyAlignment="1">
      <alignment horizontal="left" vertical="center" indent="1"/>
    </xf>
    <xf numFmtId="3" fontId="16" fillId="2" borderId="2" xfId="0" applyNumberFormat="1" applyFont="1" applyFill="1" applyBorder="1" applyAlignment="1">
      <alignment vertical="center"/>
    </xf>
    <xf numFmtId="0" fontId="21" fillId="2" borderId="0" xfId="0" applyFont="1" applyFill="1" applyAlignment="1">
      <alignment horizontal="right" vertical="center"/>
    </xf>
    <xf numFmtId="3" fontId="15" fillId="2" borderId="0" xfId="0" applyNumberFormat="1" applyFont="1" applyFill="1" applyAlignment="1">
      <alignment vertical="center"/>
    </xf>
    <xf numFmtId="3" fontId="16" fillId="2" borderId="0" xfId="0" applyNumberFormat="1" applyFont="1" applyFill="1" applyAlignment="1">
      <alignment horizontal="right" vertical="center"/>
    </xf>
    <xf numFmtId="2" fontId="18" fillId="2" borderId="0" xfId="0" applyNumberFormat="1" applyFont="1" applyFill="1" applyAlignment="1">
      <alignment horizontal="right" vertical="center"/>
    </xf>
    <xf numFmtId="1" fontId="18" fillId="2" borderId="0" xfId="0" applyNumberFormat="1" applyFont="1" applyFill="1" applyAlignment="1">
      <alignment horizontal="right" vertical="center"/>
    </xf>
    <xf numFmtId="3" fontId="16" fillId="2" borderId="4" xfId="0" applyNumberFormat="1" applyFont="1" applyFill="1" applyBorder="1" applyAlignment="1">
      <alignment horizontal="right" vertical="center"/>
    </xf>
    <xf numFmtId="0" fontId="22" fillId="2" borderId="0" xfId="0" applyFont="1" applyFill="1" applyAlignment="1">
      <alignment horizontal="right" indent="1"/>
    </xf>
    <xf numFmtId="0" fontId="22" fillId="2" borderId="0" xfId="0" applyFont="1" applyFill="1" applyAlignment="1">
      <alignment horizontal="right"/>
    </xf>
    <xf numFmtId="3" fontId="16" fillId="2" borderId="2" xfId="0" applyNumberFormat="1" applyFont="1" applyFill="1" applyBorder="1" applyAlignment="1">
      <alignment horizontal="right" vertical="center"/>
    </xf>
    <xf numFmtId="0" fontId="23" fillId="2" borderId="0" xfId="0" applyFont="1" applyFill="1" applyAlignment="1">
      <alignment horizontal="left" vertical="center"/>
    </xf>
    <xf numFmtId="164" fontId="23" fillId="2" borderId="0" xfId="0" applyNumberFormat="1" applyFont="1" applyFill="1" applyAlignment="1">
      <alignment horizontal="left" vertical="center"/>
    </xf>
    <xf numFmtId="0" fontId="24" fillId="2" borderId="0" xfId="0" applyFont="1" applyFill="1" applyAlignment="1">
      <alignment horizontal="left" vertical="center"/>
    </xf>
    <xf numFmtId="1" fontId="9" fillId="2" borderId="0" xfId="3" applyNumberFormat="1" applyFont="1" applyFill="1"/>
    <xf numFmtId="164" fontId="9" fillId="2" borderId="0" xfId="0" applyNumberFormat="1" applyFont="1" applyFill="1"/>
    <xf numFmtId="164" fontId="0" fillId="2" borderId="0" xfId="0" applyNumberFormat="1" applyFill="1"/>
    <xf numFmtId="9" fontId="9" fillId="2" borderId="0" xfId="3" applyFont="1" applyFill="1"/>
    <xf numFmtId="0" fontId="6" fillId="2" borderId="0" xfId="0" applyFont="1" applyFill="1" applyAlignment="1">
      <alignment horizontal="right" vertical="center"/>
    </xf>
    <xf numFmtId="3" fontId="23" fillId="2" borderId="0" xfId="0" applyNumberFormat="1" applyFont="1" applyFill="1" applyAlignment="1">
      <alignment horizontal="left" vertical="center"/>
    </xf>
    <xf numFmtId="3" fontId="0" fillId="2" borderId="0" xfId="0" applyNumberFormat="1" applyFill="1"/>
    <xf numFmtId="0" fontId="11" fillId="2" borderId="0" xfId="0" applyFont="1" applyFill="1" applyAlignment="1">
      <alignment horizontal="center" vertical="center"/>
    </xf>
    <xf numFmtId="0" fontId="35" fillId="2" borderId="0" xfId="0" applyFont="1" applyFill="1" applyAlignment="1">
      <alignment horizontal="right" vertical="center"/>
    </xf>
    <xf numFmtId="0" fontId="32" fillId="2" borderId="3" xfId="0" applyFont="1" applyFill="1" applyBorder="1" applyAlignment="1">
      <alignment horizontal="right" vertical="center"/>
    </xf>
    <xf numFmtId="0" fontId="32" fillId="2" borderId="1" xfId="0" applyFont="1" applyFill="1" applyBorder="1" applyAlignment="1">
      <alignment horizontal="right" vertical="center"/>
    </xf>
    <xf numFmtId="0" fontId="37" fillId="2" borderId="0" xfId="0" applyFont="1" applyFill="1" applyAlignment="1">
      <alignment horizontal="right" vertical="center" wrapText="1"/>
    </xf>
    <xf numFmtId="0" fontId="37" fillId="2" borderId="0" xfId="0" applyFont="1" applyFill="1" applyAlignment="1">
      <alignment horizontal="right" vertical="center"/>
    </xf>
    <xf numFmtId="0" fontId="38" fillId="2" borderId="0" xfId="0" applyFont="1" applyFill="1" applyAlignment="1">
      <alignment horizontal="right" vertical="center" indent="1"/>
    </xf>
    <xf numFmtId="0" fontId="38" fillId="2" borderId="4" xfId="0" applyFont="1" applyFill="1" applyBorder="1" applyAlignment="1">
      <alignment horizontal="right" vertical="center" indent="1"/>
    </xf>
    <xf numFmtId="0" fontId="38" fillId="2" borderId="2" xfId="0" applyFont="1" applyFill="1" applyBorder="1" applyAlignment="1">
      <alignment horizontal="right" vertical="center" indent="1"/>
    </xf>
    <xf numFmtId="0" fontId="34" fillId="2" borderId="4" xfId="0" applyFont="1" applyFill="1" applyBorder="1" applyAlignment="1">
      <alignment horizontal="right" indent="1"/>
    </xf>
    <xf numFmtId="0" fontId="34" fillId="2" borderId="2" xfId="0" applyFont="1" applyFill="1" applyBorder="1" applyAlignment="1">
      <alignment horizontal="right" indent="1"/>
    </xf>
    <xf numFmtId="0" fontId="35" fillId="2" borderId="0" xfId="0" applyFont="1" applyFill="1"/>
    <xf numFmtId="0" fontId="33" fillId="2" borderId="0" xfId="0" applyFont="1" applyFill="1"/>
    <xf numFmtId="0" fontId="32" fillId="2" borderId="0" xfId="0" applyFont="1" applyFill="1" applyAlignment="1">
      <alignment horizontal="right" vertical="center"/>
    </xf>
    <xf numFmtId="0" fontId="20" fillId="2" borderId="0" xfId="0" applyFont="1" applyFill="1" applyAlignment="1">
      <alignment horizontal="right" vertical="center"/>
    </xf>
    <xf numFmtId="1" fontId="0" fillId="2" borderId="0" xfId="0" applyNumberFormat="1" applyFill="1"/>
    <xf numFmtId="1" fontId="39" fillId="2" borderId="0" xfId="0" applyNumberFormat="1" applyFont="1" applyFill="1"/>
    <xf numFmtId="0" fontId="27" fillId="2" borderId="0" xfId="0" applyFont="1" applyFill="1"/>
    <xf numFmtId="0" fontId="23" fillId="2" borderId="0" xfId="0" applyFont="1" applyFill="1" applyAlignment="1">
      <alignment vertical="center"/>
    </xf>
    <xf numFmtId="0" fontId="44" fillId="2" borderId="0" xfId="0" applyFont="1" applyFill="1" applyAlignment="1">
      <alignment horizontal="right" vertical="center"/>
    </xf>
    <xf numFmtId="0" fontId="36" fillId="2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76">
    <cellStyle name="1" xfId="6" xr:uid="{00000000-0005-0000-0000-000000000000}"/>
    <cellStyle name="Comma 2" xfId="20" xr:uid="{00000000-0005-0000-0000-000002000000}"/>
    <cellStyle name="Comma 2 2" xfId="47" xr:uid="{71832AE8-63E9-47AC-B43D-24C9B30FD491}"/>
    <cellStyle name="Comma 2 2 2 5" xfId="28" xr:uid="{923A80DF-8391-490C-A9FC-9B04BA3FF02C}"/>
    <cellStyle name="Comma 2 3" xfId="54" xr:uid="{18E20042-2979-46AD-9D37-4A459DA64BAE}"/>
    <cellStyle name="Comma 3" xfId="7" xr:uid="{00000000-0005-0000-0000-000003000000}"/>
    <cellStyle name="Comma 3 2" xfId="50" xr:uid="{C94EE668-205D-4DE2-A3E1-635995599CA4}"/>
    <cellStyle name="Normal" xfId="0" builtinId="0"/>
    <cellStyle name="Normal - Style1" xfId="8" xr:uid="{00000000-0005-0000-0000-000005000000}"/>
    <cellStyle name="Normal 10" xfId="14" xr:uid="{00000000-0005-0000-0000-000006000000}"/>
    <cellStyle name="Normal 11" xfId="25" xr:uid="{95DB1E47-A717-4F50-B120-BDB4A6A98D35}"/>
    <cellStyle name="Normal 12" xfId="27" xr:uid="{5F37676F-9210-428B-A54A-88AF31197612}"/>
    <cellStyle name="Normal 13" xfId="36" xr:uid="{1E44DD08-E506-4B0E-A49D-239619E68ECB}"/>
    <cellStyle name="Normal 14" xfId="61" xr:uid="{CF47567C-18E3-48E3-B4B2-F9546E19550C}"/>
    <cellStyle name="Normal 15" xfId="62" xr:uid="{791BF7C1-0A53-4899-92D0-58D1295D1734}"/>
    <cellStyle name="Normal 16" xfId="63" xr:uid="{FB24067F-240D-455E-8348-EE3147456F5B}"/>
    <cellStyle name="Normal 17" xfId="64" xr:uid="{D4A5C67F-868D-43C6-89A5-249394EF5F61}"/>
    <cellStyle name="Normal 18" xfId="65" xr:uid="{C428DA61-20F8-4842-A18B-7FA043B482A4}"/>
    <cellStyle name="Normal 19" xfId="66" xr:uid="{EACCE844-16D2-420C-B840-ACEE6225450A}"/>
    <cellStyle name="Normal 2" xfId="2" xr:uid="{00000000-0005-0000-0000-000007000000}"/>
    <cellStyle name="Normal 2 2" xfId="9" xr:uid="{00000000-0005-0000-0000-000008000000}"/>
    <cellStyle name="Normal 2 2 2" xfId="21" xr:uid="{00000000-0005-0000-0000-000009000000}"/>
    <cellStyle name="Normal 2 2 2 2" xfId="45" xr:uid="{8F8F9C60-80DF-42BF-B765-6C68B3B83858}"/>
    <cellStyle name="Normal 2 2 3" xfId="22" xr:uid="{2E2FEFD2-ABBD-420D-8461-C8F503FDA24A}"/>
    <cellStyle name="Normal 2 2 3 2" xfId="43" xr:uid="{847F1A16-9FCA-412B-AE91-D29E3FC8B338}"/>
    <cellStyle name="Normal 2 2 4" xfId="39" xr:uid="{19B03459-4F46-4840-B83F-02097E770DD0}"/>
    <cellStyle name="Normal 2 3" xfId="24" xr:uid="{48422FEC-E0BC-428C-9750-2D76D2E13FBF}"/>
    <cellStyle name="Normal 2 3 2" xfId="35" xr:uid="{53720891-5BB7-4072-A4AA-9D579EA571CD}"/>
    <cellStyle name="Normal 2 3 3" xfId="38" xr:uid="{7DCAFB35-81DA-42EB-A924-F7ED0EEF7A1F}"/>
    <cellStyle name="Normal 2 4" xfId="26" xr:uid="{84E1C268-3A16-4FB7-A335-F22068D33369}"/>
    <cellStyle name="Normal 2 4 2" xfId="46" xr:uid="{57E5914E-388A-4C4B-895D-9DE84233932D}"/>
    <cellStyle name="Normal 2 5" xfId="30" xr:uid="{D29D2916-D641-4853-A275-3F08E70F8C7A}"/>
    <cellStyle name="Normal 2 5 2" xfId="68" xr:uid="{C22BCFAD-F32E-457E-938E-ABEE683A2342}"/>
    <cellStyle name="Normal 2 6" xfId="69" xr:uid="{FEC1E65A-B873-4B1D-8CA3-90C7267B1DBB}"/>
    <cellStyle name="Normal 2 7" xfId="72" xr:uid="{1F813466-FC69-4C83-8E34-944476152EEC}"/>
    <cellStyle name="Normal 20" xfId="67" xr:uid="{6BBCB359-6445-479F-B974-2714BC50CD98}"/>
    <cellStyle name="Normal 21" xfId="73" xr:uid="{ED747AB2-D527-4275-89BF-F4D42E0C64B3}"/>
    <cellStyle name="Normal 22" xfId="74" xr:uid="{8E332121-172D-4CE3-830C-64EBB89E6CB3}"/>
    <cellStyle name="Normal 23" xfId="75" xr:uid="{DB6A6BF5-DDB4-454B-9671-9B4525D9FEF0}"/>
    <cellStyle name="Normal 3" xfId="10" xr:uid="{00000000-0005-0000-0000-00000A000000}"/>
    <cellStyle name="Normal 3 2" xfId="23" xr:uid="{44D070A0-948A-45DA-8AFF-8A98BB90EB1D}"/>
    <cellStyle name="Normal 3 2 2" xfId="32" xr:uid="{4957CE97-0C4F-446D-8F13-BA568858B15F}"/>
    <cellStyle name="Normal 3 2 2 2" xfId="57" xr:uid="{2E853BA5-A6AB-4EF9-973C-19000D44968E}"/>
    <cellStyle name="Normal 3 3" xfId="41" xr:uid="{1D4DED44-E767-4414-A710-53A5E77B0231}"/>
    <cellStyle name="Normal 3 3 2" xfId="60" xr:uid="{105881E3-0498-4F49-93D5-84249EBD8B7E}"/>
    <cellStyle name="Normal 3 4" xfId="51" xr:uid="{775CBDBA-2355-47F1-8EDC-996CD2E9D14C}"/>
    <cellStyle name="Normal 3 5" xfId="55" xr:uid="{B67EF198-0A73-4423-9F40-46956DF79B03}"/>
    <cellStyle name="Normal 3 6" xfId="70" xr:uid="{147BF9F4-9920-475F-AFAF-1D72BEB5A6F8}"/>
    <cellStyle name="Normal 3 7" xfId="71" xr:uid="{C369A487-A923-4CFF-B26E-A8A707B5AE2D}"/>
    <cellStyle name="Normal 4" xfId="15" xr:uid="{00000000-0005-0000-0000-00000B000000}"/>
    <cellStyle name="Normal 4 2" xfId="11" xr:uid="{00000000-0005-0000-0000-00000C000000}"/>
    <cellStyle name="Normal 4 2 2" xfId="16" xr:uid="{00000000-0005-0000-0000-00000D000000}"/>
    <cellStyle name="Normal 4 2 3" xfId="40" xr:uid="{3CC09F86-6AF3-42B7-B59F-47E11B119A56}"/>
    <cellStyle name="Normal 4 3" xfId="31" xr:uid="{6720CF7E-3D28-49D4-A4F3-23A341275CC3}"/>
    <cellStyle name="Normal 4 3 2" xfId="48" xr:uid="{FF8D28D6-8DB2-418B-A317-8CA9F33A63C6}"/>
    <cellStyle name="Normal 4 4" xfId="53" xr:uid="{506DB73D-6B6B-40EF-85B4-52381B4717DA}"/>
    <cellStyle name="Normal 5" xfId="12" xr:uid="{00000000-0005-0000-0000-00000E000000}"/>
    <cellStyle name="Normal 5 2" xfId="4" xr:uid="{00000000-0005-0000-0000-00000F000000}"/>
    <cellStyle name="Normal 5 2 2" xfId="56" xr:uid="{349C0B77-1FB1-4403-84A0-A4B2133A156A}"/>
    <cellStyle name="Normal 5 3" xfId="29" xr:uid="{F16A05F5-F806-4902-9DAF-1592A0EB3B8F}"/>
    <cellStyle name="Normal 5 4" xfId="42" xr:uid="{A6EA1B92-714A-484D-87C5-6D1A3BC3F4D7}"/>
    <cellStyle name="Normal 6" xfId="17" xr:uid="{00000000-0005-0000-0000-000010000000}"/>
    <cellStyle name="Normal 6 2" xfId="33" xr:uid="{28DCBC0B-46D7-4D92-ADC4-A6E5B7FB0383}"/>
    <cellStyle name="Normal 6 2 2" xfId="58" xr:uid="{35024BBE-69E3-4A93-86D9-3A08FFADFD0D}"/>
    <cellStyle name="Normal 6 3" xfId="44" xr:uid="{A1A5671A-5779-4172-B339-E25C279C443B}"/>
    <cellStyle name="Normal 7" xfId="18" xr:uid="{00000000-0005-0000-0000-000011000000}"/>
    <cellStyle name="Normal 7 2" xfId="34" xr:uid="{F94E59D5-A861-4070-A967-F13E24BDD6F0}"/>
    <cellStyle name="Normal 7 2 2" xfId="49" xr:uid="{3C7963B8-B6CF-4FCF-93B3-DD71D3A617EC}"/>
    <cellStyle name="Normal 7 3" xfId="59" xr:uid="{31B347B4-04A7-4773-99FE-B93DBCB9EF51}"/>
    <cellStyle name="Normal 7 4" xfId="37" xr:uid="{82FD4FAA-650B-46FE-85A5-0119781775C0}"/>
    <cellStyle name="Normal 8" xfId="19" xr:uid="{00000000-0005-0000-0000-000012000000}"/>
    <cellStyle name="Normal 8 2" xfId="52" xr:uid="{2C19882A-370B-4CF1-8D87-E650A5A0EE91}"/>
    <cellStyle name="Normal 9" xfId="5" xr:uid="{00000000-0005-0000-0000-000013000000}"/>
    <cellStyle name="Percent" xfId="1" builtinId="5"/>
    <cellStyle name="Percent 2" xfId="13" xr:uid="{00000000-0005-0000-0000-00001B000000}"/>
    <cellStyle name="Percent 2 2" xfId="3" xr:uid="{00000000-0005-0000-0000-00001C000000}"/>
  </cellStyles>
  <dxfs count="0"/>
  <tableStyles count="0" defaultTableStyle="TableStyleMedium2" defaultPivotStyle="PivotStyleLight16"/>
  <colors>
    <mruColors>
      <color rgb="FFBDFFFF"/>
      <color rgb="FFD1FFFF"/>
      <color rgb="FF4FFFFF"/>
      <color rgb="FF00DFDA"/>
      <color rgb="FF009999"/>
      <color rgb="FFC5FFFF"/>
      <color rgb="FF006F6C"/>
      <color rgb="FFEFFFFF"/>
      <color rgb="FFFF8585"/>
      <color rgb="FFF3F6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668874837977691"/>
          <c:y val="0.19256907954998775"/>
          <c:w val="0.41159738753586045"/>
          <c:h val="0.78506898966396299"/>
        </c:manualLayout>
      </c:layout>
      <c:pieChart>
        <c:varyColors val="1"/>
        <c:ser>
          <c:idx val="0"/>
          <c:order val="0"/>
          <c:spPr>
            <a:solidFill>
              <a:schemeClr val="accent5">
                <a:lumMod val="75000"/>
              </a:schemeClr>
            </a:solidFill>
          </c:spPr>
          <c:explosion val="1"/>
          <c:dPt>
            <c:idx val="0"/>
            <c:bubble3D val="0"/>
            <c:explosion val="7"/>
            <c:spPr>
              <a:solidFill>
                <a:srgbClr val="00DFDA"/>
              </a:solidFill>
            </c:spPr>
            <c:extLst>
              <c:ext xmlns:c16="http://schemas.microsoft.com/office/drawing/2014/chart" uri="{C3380CC4-5D6E-409C-BE32-E72D297353CC}">
                <c16:uniqueId val="{00000001-F2DC-47B9-AB0C-61A032FFEB2E}"/>
              </c:ext>
            </c:extLst>
          </c:dPt>
          <c:dPt>
            <c:idx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F2DC-47B9-AB0C-61A032FFEB2E}"/>
              </c:ext>
            </c:extLst>
          </c:dPt>
          <c:dPt>
            <c:idx val="2"/>
            <c:bubble3D val="0"/>
            <c:spPr>
              <a:solidFill>
                <a:srgbClr val="006F6C"/>
              </a:solidFill>
            </c:spPr>
            <c:extLst>
              <c:ext xmlns:c16="http://schemas.microsoft.com/office/drawing/2014/chart" uri="{C3380CC4-5D6E-409C-BE32-E72D297353CC}">
                <c16:uniqueId val="{00000005-F2DC-47B9-AB0C-61A032FFEB2E}"/>
              </c:ext>
            </c:extLst>
          </c:dPt>
          <c:dPt>
            <c:idx val="3"/>
            <c:bubble3D val="0"/>
            <c:spPr>
              <a:solidFill>
                <a:srgbClr val="BDFFFF"/>
              </a:solidFill>
            </c:spPr>
            <c:extLst>
              <c:ext xmlns:c16="http://schemas.microsoft.com/office/drawing/2014/chart" uri="{C3380CC4-5D6E-409C-BE32-E72D297353CC}">
                <c16:uniqueId val="{00000007-F2DC-47B9-AB0C-61A032FFEB2E}"/>
              </c:ext>
            </c:extLst>
          </c:dPt>
          <c:dLbls>
            <c:dLbl>
              <c:idx val="0"/>
              <c:layout>
                <c:manualLayout>
                  <c:x val="-0.10005464291837143"/>
                  <c:y val="0.2052054126693839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700"/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084016688356281"/>
                      <c:h val="0.1982262887844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2DC-47B9-AB0C-61A032FFEB2E}"/>
                </c:ext>
              </c:extLst>
            </c:dLbl>
            <c:dLbl>
              <c:idx val="1"/>
              <c:layout>
                <c:manualLayout>
                  <c:x val="6.872790171120983E-3"/>
                  <c:y val="3.243119637874301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2DC-47B9-AB0C-61A032FFEB2E}"/>
                </c:ext>
              </c:extLst>
            </c:dLbl>
            <c:dLbl>
              <c:idx val="2"/>
              <c:layout>
                <c:manualLayout>
                  <c:x val="5.6863993413034053E-2"/>
                  <c:y val="-0.2285762257187491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2DC-47B9-AB0C-61A032FFEB2E}"/>
                </c:ext>
              </c:extLst>
            </c:dLbl>
            <c:dLbl>
              <c:idx val="3"/>
              <c:layout>
                <c:manualLayout>
                  <c:x val="9.0820391078162685E-2"/>
                  <c:y val="0.1861863558429571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900"/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726333777446408"/>
                      <c:h val="0.153052259796450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F2DC-47B9-AB0C-61A032FFEB2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'10.2'!$W$44:$W$47</c:f>
              <c:strCache>
                <c:ptCount val="4"/>
                <c:pt idx="0">
                  <c:v>Resorts (including Marinas)</c:v>
                </c:pt>
                <c:pt idx="1">
                  <c:v>Hotels</c:v>
                </c:pt>
                <c:pt idx="2">
                  <c:v>Guest Houses</c:v>
                </c:pt>
                <c:pt idx="3">
                  <c:v>Safari Vessels</c:v>
                </c:pt>
              </c:strCache>
            </c:strRef>
          </c:cat>
          <c:val>
            <c:numRef>
              <c:f>'10.2'!$X$44:$X$47</c:f>
              <c:numCache>
                <c:formatCode>0%</c:formatCode>
                <c:ptCount val="4"/>
                <c:pt idx="0">
                  <c:v>0.15570934256055363</c:v>
                </c:pt>
                <c:pt idx="1">
                  <c:v>1.2110726643598616E-2</c:v>
                </c:pt>
                <c:pt idx="2">
                  <c:v>0.70501730103806226</c:v>
                </c:pt>
                <c:pt idx="3">
                  <c:v>0.12716262975778547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2DC-47B9-AB0C-61A032FFEB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zero"/>
    <c:showDLblsOverMax val="0"/>
  </c:chart>
  <c:printSettings>
    <c:headerFooter/>
    <c:pageMargins b="0.75000000000000144" l="0.70000000000000062" r="0.70000000000000062" t="0.75000000000000144" header="0.30000000000000032" footer="0.30000000000000032"/>
    <c:pageSetup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241667068504346"/>
          <c:y val="0.2341351781202072"/>
          <c:w val="0.45359569078732764"/>
          <c:h val="0.68064548623574661"/>
        </c:manualLayout>
      </c:layout>
      <c:pieChart>
        <c:varyColors val="1"/>
        <c:ser>
          <c:idx val="0"/>
          <c:order val="0"/>
          <c:spPr>
            <a:solidFill>
              <a:srgbClr val="1C706E"/>
            </a:solidFill>
          </c:spPr>
          <c:explosion val="5"/>
          <c:dPt>
            <c:idx val="0"/>
            <c:bubble3D val="0"/>
            <c:spPr>
              <a:solidFill>
                <a:srgbClr val="00DFDA"/>
              </a:solidFill>
            </c:spPr>
            <c:extLst>
              <c:ext xmlns:c16="http://schemas.microsoft.com/office/drawing/2014/chart" uri="{C3380CC4-5D6E-409C-BE32-E72D297353CC}">
                <c16:uniqueId val="{00000001-0223-4735-9FBB-BC19C7D85A39}"/>
              </c:ext>
            </c:extLst>
          </c:dPt>
          <c:dPt>
            <c:idx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0223-4735-9FBB-BC19C7D85A39}"/>
              </c:ext>
            </c:extLst>
          </c:dPt>
          <c:dPt>
            <c:idx val="2"/>
            <c:bubble3D val="0"/>
            <c:spPr>
              <a:solidFill>
                <a:srgbClr val="006F6C"/>
              </a:solidFill>
            </c:spPr>
            <c:extLst>
              <c:ext xmlns:c16="http://schemas.microsoft.com/office/drawing/2014/chart" uri="{C3380CC4-5D6E-409C-BE32-E72D297353CC}">
                <c16:uniqueId val="{00000005-0223-4735-9FBB-BC19C7D85A39}"/>
              </c:ext>
            </c:extLst>
          </c:dPt>
          <c:dPt>
            <c:idx val="3"/>
            <c:bubble3D val="0"/>
            <c:spPr>
              <a:solidFill>
                <a:srgbClr val="BDFFFF"/>
              </a:solidFill>
            </c:spPr>
            <c:extLst>
              <c:ext xmlns:c16="http://schemas.microsoft.com/office/drawing/2014/chart" uri="{C3380CC4-5D6E-409C-BE32-E72D297353CC}">
                <c16:uniqueId val="{00000007-0223-4735-9FBB-BC19C7D85A39}"/>
              </c:ext>
            </c:extLst>
          </c:dPt>
          <c:dLbls>
            <c:dLbl>
              <c:idx val="0"/>
              <c:layout>
                <c:manualLayout>
                  <c:x val="0.19173197797915575"/>
                  <c:y val="-0.1248037433425261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223-4735-9FBB-BC19C7D85A39}"/>
                </c:ext>
              </c:extLst>
            </c:dLbl>
            <c:dLbl>
              <c:idx val="1"/>
              <c:layout>
                <c:manualLayout>
                  <c:x val="2.3977561206488533E-2"/>
                  <c:y val="2.85729968164625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223-4735-9FBB-BC19C7D85A39}"/>
                </c:ext>
              </c:extLst>
            </c:dLbl>
            <c:dLbl>
              <c:idx val="2"/>
              <c:layout>
                <c:manualLayout>
                  <c:x val="-0.16414889362269428"/>
                  <c:y val="0.1153243392406428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223-4735-9FBB-BC19C7D85A39}"/>
                </c:ext>
              </c:extLst>
            </c:dLbl>
            <c:dLbl>
              <c:idx val="3"/>
              <c:layout>
                <c:manualLayout>
                  <c:x val="1.2690848224606744E-2"/>
                  <c:y val="3.856969001026782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223-4735-9FBB-BC19C7D85A3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tx1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'10.2'!$W$37:$W$40</c:f>
              <c:strCache>
                <c:ptCount val="4"/>
                <c:pt idx="0">
                  <c:v>Resorts (including Marinas)</c:v>
                </c:pt>
                <c:pt idx="1">
                  <c:v>Hotels</c:v>
                </c:pt>
                <c:pt idx="2">
                  <c:v>Guest Houses</c:v>
                </c:pt>
                <c:pt idx="3">
                  <c:v>Safari Vessels</c:v>
                </c:pt>
              </c:strCache>
            </c:strRef>
          </c:cat>
          <c:val>
            <c:numRef>
              <c:f>'10.2'!$X$37:$X$40</c:f>
              <c:numCache>
                <c:formatCode>0</c:formatCode>
                <c:ptCount val="4"/>
                <c:pt idx="0">
                  <c:v>68.516912634202072</c:v>
                </c:pt>
                <c:pt idx="1">
                  <c:v>2.8300185060228085</c:v>
                </c:pt>
                <c:pt idx="2">
                  <c:v>23.705747556470094</c:v>
                </c:pt>
                <c:pt idx="3">
                  <c:v>4.9473213033050287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223-4735-9FBB-BC19C7D85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22"/>
      </c:pieChart>
    </c:plotArea>
    <c:plotVisOnly val="1"/>
    <c:dispBlanksAs val="zero"/>
    <c:showDLblsOverMax val="0"/>
  </c:chart>
  <c:printSettings>
    <c:headerFooter/>
    <c:pageMargins b="0.75000000000000144" l="0.70000000000000062" r="0.70000000000000062" t="0.75000000000000144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1394484</xdr:colOff>
      <xdr:row>35</xdr:row>
      <xdr:rowOff>107757</xdr:rowOff>
    </xdr:from>
    <xdr:to>
      <xdr:col>7</xdr:col>
      <xdr:colOff>545703</xdr:colOff>
      <xdr:row>51</xdr:row>
      <xdr:rowOff>19843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36098</xdr:colOff>
      <xdr:row>35</xdr:row>
      <xdr:rowOff>116255</xdr:rowOff>
    </xdr:from>
    <xdr:to>
      <xdr:col>13</xdr:col>
      <xdr:colOff>1508126</xdr:colOff>
      <xdr:row>51</xdr:row>
      <xdr:rowOff>39687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211917</xdr:colOff>
      <xdr:row>36</xdr:row>
      <xdr:rowOff>7410</xdr:rowOff>
    </xdr:from>
    <xdr:to>
      <xdr:col>13</xdr:col>
      <xdr:colOff>1369219</xdr:colOff>
      <xdr:row>38</xdr:row>
      <xdr:rowOff>99780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7127464" y="7746473"/>
          <a:ext cx="4679568" cy="4495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0"/>
          <a:r>
            <a:rPr lang="en-US" sz="11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10.4: Percentage share of bed capacity by type of establishment, 2023  </a:t>
          </a:r>
          <a:endParaRPr lang="en-US" sz="1100" b="1">
            <a:effectLst/>
            <a:latin typeface="Consolas" pitchFamily="49" charset="0"/>
            <a:cs typeface="Consolas" pitchFamily="49" charset="0"/>
          </a:endParaRPr>
        </a:p>
        <a:p>
          <a:pPr algn="ctr"/>
          <a:endParaRPr lang="en-US" sz="105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0.0512</cdr:x>
      <cdr:y>0.03207</cdr:y>
    </cdr:from>
    <cdr:to>
      <cdr:x>0.92828</cdr:x>
      <cdr:y>0.18272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67899" y="101037"/>
          <a:ext cx="4589028" cy="474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10.3: Percentage share of Establishments by type, 2023</a:t>
          </a:r>
          <a:endParaRPr lang="en-US" sz="1200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2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10%20%20TOURISM%20-%20M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.1"/>
      <sheetName val="10.1 figures workings"/>
      <sheetName val="10.2"/>
      <sheetName val="10.3"/>
      <sheetName val="10.4"/>
      <sheetName val="Sheet1"/>
      <sheetName val="10.5"/>
      <sheetName val="10.6"/>
      <sheetName val="10.7"/>
      <sheetName val="10.8"/>
      <sheetName val="10.9"/>
      <sheetName val="10.11"/>
      <sheetName val="10.12"/>
      <sheetName val="10.13"/>
      <sheetName val="10.14"/>
    </sheetNames>
    <sheetDataSet>
      <sheetData sheetId="0"/>
      <sheetData sheetId="1"/>
      <sheetData sheetId="2">
        <row r="40">
          <cell r="AC40" t="str">
            <v>Resorts (including Marinas)</v>
          </cell>
        </row>
      </sheetData>
      <sheetData sheetId="3">
        <row r="19">
          <cell r="AI19" t="str">
            <v xml:space="preserve">Registered Bed Capacity </v>
          </cell>
          <cell r="AJ19" t="str">
            <v xml:space="preserve">Beds in operation </v>
          </cell>
        </row>
        <row r="20">
          <cell r="AH20" t="str">
            <v>Jan</v>
          </cell>
          <cell r="AI20">
            <v>41602</v>
          </cell>
          <cell r="AJ20">
            <v>40943</v>
          </cell>
        </row>
        <row r="21">
          <cell r="AH21" t="str">
            <v>Feb</v>
          </cell>
          <cell r="AI21">
            <v>41710</v>
          </cell>
          <cell r="AJ21">
            <v>40807</v>
          </cell>
        </row>
        <row r="22">
          <cell r="AH22" t="str">
            <v>Mar</v>
          </cell>
          <cell r="AI22">
            <v>42050</v>
          </cell>
          <cell r="AJ22">
            <v>41137</v>
          </cell>
        </row>
        <row r="23">
          <cell r="AH23" t="str">
            <v>Apr</v>
          </cell>
          <cell r="AI23">
            <v>42688</v>
          </cell>
          <cell r="AJ23">
            <v>41835</v>
          </cell>
        </row>
        <row r="24">
          <cell r="AH24" t="str">
            <v>May</v>
          </cell>
          <cell r="AI24">
            <v>42736</v>
          </cell>
          <cell r="AJ24">
            <v>41513</v>
          </cell>
        </row>
        <row r="25">
          <cell r="AH25" t="str">
            <v>Jun</v>
          </cell>
          <cell r="AI25">
            <v>42822</v>
          </cell>
          <cell r="AJ25">
            <v>41503</v>
          </cell>
        </row>
        <row r="26">
          <cell r="AH26" t="str">
            <v>Jul</v>
          </cell>
          <cell r="AI26">
            <v>42929</v>
          </cell>
          <cell r="AJ26">
            <v>41534</v>
          </cell>
        </row>
        <row r="27">
          <cell r="AH27" t="str">
            <v>Aug</v>
          </cell>
          <cell r="AI27">
            <v>43099</v>
          </cell>
          <cell r="AJ27">
            <v>41780</v>
          </cell>
        </row>
        <row r="28">
          <cell r="AH28" t="str">
            <v>Sep</v>
          </cell>
          <cell r="AI28">
            <v>43660</v>
          </cell>
          <cell r="AJ28">
            <v>42355</v>
          </cell>
        </row>
        <row r="29">
          <cell r="AH29" t="str">
            <v>Oct</v>
          </cell>
          <cell r="AI29">
            <v>43806</v>
          </cell>
          <cell r="AJ29">
            <v>42501</v>
          </cell>
        </row>
        <row r="30">
          <cell r="AH30" t="str">
            <v>Nov</v>
          </cell>
          <cell r="AI30">
            <v>44345</v>
          </cell>
          <cell r="AJ30">
            <v>42960</v>
          </cell>
        </row>
        <row r="31">
          <cell r="AH31" t="str">
            <v>Dec</v>
          </cell>
          <cell r="AI31">
            <v>44860</v>
          </cell>
          <cell r="AJ31">
            <v>43448</v>
          </cell>
        </row>
      </sheetData>
      <sheetData sheetId="4">
        <row r="19">
          <cell r="AE19" t="str">
            <v xml:space="preserve">Registered Bed Capacity </v>
          </cell>
        </row>
      </sheetData>
      <sheetData sheetId="5"/>
      <sheetData sheetId="6">
        <row r="21">
          <cell r="AF21" t="str">
            <v xml:space="preserve">Registered Bed Capacity </v>
          </cell>
          <cell r="AG21" t="str">
            <v xml:space="preserve">Beds in operation </v>
          </cell>
        </row>
        <row r="22">
          <cell r="AE22" t="str">
            <v>Jan</v>
          </cell>
          <cell r="AF22">
            <v>10</v>
          </cell>
          <cell r="AG22">
            <v>10</v>
          </cell>
        </row>
        <row r="23">
          <cell r="AE23" t="str">
            <v>Feb</v>
          </cell>
          <cell r="AF23">
            <v>10</v>
          </cell>
          <cell r="AG23">
            <v>10</v>
          </cell>
        </row>
        <row r="24">
          <cell r="AE24" t="str">
            <v>Mar</v>
          </cell>
          <cell r="AF24">
            <v>10</v>
          </cell>
          <cell r="AG24">
            <v>10</v>
          </cell>
        </row>
        <row r="25">
          <cell r="AE25" t="str">
            <v>Apr</v>
          </cell>
          <cell r="AF25">
            <v>12</v>
          </cell>
          <cell r="AG25">
            <v>12</v>
          </cell>
        </row>
        <row r="26">
          <cell r="AE26" t="str">
            <v>May</v>
          </cell>
          <cell r="AF26">
            <v>12</v>
          </cell>
          <cell r="AG26">
            <v>12</v>
          </cell>
        </row>
        <row r="27">
          <cell r="AE27" t="str">
            <v>Jun</v>
          </cell>
          <cell r="AF27">
            <v>12</v>
          </cell>
          <cell r="AG27">
            <v>12</v>
          </cell>
        </row>
        <row r="28">
          <cell r="AE28" t="str">
            <v>Jul</v>
          </cell>
          <cell r="AF28">
            <v>12</v>
          </cell>
          <cell r="AG28">
            <v>12</v>
          </cell>
        </row>
        <row r="29">
          <cell r="AE29" t="str">
            <v>Aug</v>
          </cell>
          <cell r="AF29">
            <v>12</v>
          </cell>
          <cell r="AG29">
            <v>12</v>
          </cell>
        </row>
        <row r="30">
          <cell r="AE30" t="str">
            <v>Sep</v>
          </cell>
          <cell r="AF30">
            <v>12</v>
          </cell>
          <cell r="AG30">
            <v>12</v>
          </cell>
        </row>
        <row r="31">
          <cell r="AE31" t="str">
            <v>Oct</v>
          </cell>
          <cell r="AF31">
            <v>12</v>
          </cell>
          <cell r="AG31">
            <v>12</v>
          </cell>
        </row>
        <row r="32">
          <cell r="AE32" t="str">
            <v>Nov</v>
          </cell>
          <cell r="AF32">
            <v>12</v>
          </cell>
          <cell r="AG32">
            <v>12</v>
          </cell>
        </row>
        <row r="33">
          <cell r="AE33" t="str">
            <v>Dec</v>
          </cell>
          <cell r="AF33">
            <v>12</v>
          </cell>
          <cell r="AG33">
            <v>12</v>
          </cell>
        </row>
      </sheetData>
      <sheetData sheetId="7">
        <row r="19">
          <cell r="AE19" t="str">
            <v xml:space="preserve">Registered Bed Capacity </v>
          </cell>
          <cell r="AF19" t="str">
            <v xml:space="preserve">Beds in operation </v>
          </cell>
        </row>
        <row r="20">
          <cell r="AD20" t="str">
            <v>Jan</v>
          </cell>
          <cell r="AE20">
            <v>7464</v>
          </cell>
          <cell r="AF20">
            <v>7464</v>
          </cell>
        </row>
        <row r="21">
          <cell r="AD21" t="str">
            <v>Feb</v>
          </cell>
          <cell r="AE21">
            <v>7528</v>
          </cell>
          <cell r="AF21">
            <v>7528</v>
          </cell>
        </row>
        <row r="22">
          <cell r="AD22" t="str">
            <v>Mar</v>
          </cell>
          <cell r="AE22">
            <v>7750</v>
          </cell>
          <cell r="AF22">
            <v>7750</v>
          </cell>
        </row>
        <row r="23">
          <cell r="AD23" t="str">
            <v>Apr</v>
          </cell>
          <cell r="AE23">
            <v>7922</v>
          </cell>
          <cell r="AF23">
            <v>7922</v>
          </cell>
        </row>
        <row r="24">
          <cell r="AD24" t="str">
            <v>May</v>
          </cell>
          <cell r="AE24">
            <v>7948</v>
          </cell>
          <cell r="AF24">
            <v>7948</v>
          </cell>
        </row>
        <row r="25">
          <cell r="AD25" t="str">
            <v>Jun</v>
          </cell>
          <cell r="AE25">
            <v>8006</v>
          </cell>
          <cell r="AF25">
            <v>7998</v>
          </cell>
        </row>
        <row r="26">
          <cell r="AD26" t="str">
            <v>Jul</v>
          </cell>
          <cell r="AE26">
            <v>8098</v>
          </cell>
          <cell r="AF26">
            <v>8090</v>
          </cell>
        </row>
        <row r="27">
          <cell r="AD27" t="str">
            <v>Aug</v>
          </cell>
          <cell r="AE27">
            <v>8134</v>
          </cell>
          <cell r="AF27">
            <v>8112</v>
          </cell>
        </row>
        <row r="28">
          <cell r="AD28" t="str">
            <v>Sep</v>
          </cell>
          <cell r="AE28">
            <v>8208</v>
          </cell>
          <cell r="AF28">
            <v>8200</v>
          </cell>
        </row>
        <row r="29">
          <cell r="AD29" t="str">
            <v>Oct</v>
          </cell>
          <cell r="AE29">
            <v>8294</v>
          </cell>
          <cell r="AF29">
            <v>8286</v>
          </cell>
        </row>
        <row r="30">
          <cell r="AD30" t="str">
            <v>Nov</v>
          </cell>
          <cell r="AE30">
            <v>8292</v>
          </cell>
          <cell r="AF30">
            <v>8248</v>
          </cell>
        </row>
        <row r="31">
          <cell r="AD31" t="str">
            <v>Dec</v>
          </cell>
          <cell r="AE31">
            <v>8563</v>
          </cell>
          <cell r="AF31">
            <v>8454</v>
          </cell>
        </row>
      </sheetData>
      <sheetData sheetId="8">
        <row r="20">
          <cell r="AF20" t="str">
            <v xml:space="preserve">Registered Bed Capacity </v>
          </cell>
          <cell r="AG20" t="str">
            <v xml:space="preserve">Beds in operation </v>
          </cell>
        </row>
        <row r="21">
          <cell r="AE21" t="str">
            <v>Jan</v>
          </cell>
          <cell r="AF21">
            <v>2619</v>
          </cell>
          <cell r="AG21">
            <v>2619</v>
          </cell>
        </row>
        <row r="22">
          <cell r="AE22" t="str">
            <v>Feb</v>
          </cell>
          <cell r="AF22">
            <v>2663</v>
          </cell>
          <cell r="AG22">
            <v>2663</v>
          </cell>
        </row>
        <row r="23">
          <cell r="AE23" t="str">
            <v>Mar</v>
          </cell>
          <cell r="AF23">
            <v>2663</v>
          </cell>
          <cell r="AG23">
            <v>2663</v>
          </cell>
        </row>
        <row r="24">
          <cell r="AE24" t="str">
            <v>Apr</v>
          </cell>
          <cell r="AF24">
            <v>2719</v>
          </cell>
          <cell r="AG24">
            <v>2719</v>
          </cell>
        </row>
        <row r="25">
          <cell r="AE25" t="str">
            <v>May</v>
          </cell>
          <cell r="AF25">
            <v>2741</v>
          </cell>
          <cell r="AG25">
            <v>2741</v>
          </cell>
        </row>
        <row r="26">
          <cell r="AE26" t="str">
            <v>Jun</v>
          </cell>
          <cell r="AF26">
            <v>2749</v>
          </cell>
          <cell r="AG26">
            <v>2735</v>
          </cell>
        </row>
        <row r="27">
          <cell r="AE27" t="str">
            <v>Jul</v>
          </cell>
          <cell r="AF27">
            <v>2764</v>
          </cell>
          <cell r="AG27">
            <v>2764</v>
          </cell>
        </row>
        <row r="28">
          <cell r="AE28" t="str">
            <v>Aug</v>
          </cell>
          <cell r="AF28">
            <v>2764</v>
          </cell>
          <cell r="AG28">
            <v>2764</v>
          </cell>
        </row>
        <row r="29">
          <cell r="AE29" t="str">
            <v>Sep</v>
          </cell>
          <cell r="AF29">
            <v>2769</v>
          </cell>
          <cell r="AG29">
            <v>2769</v>
          </cell>
        </row>
        <row r="30">
          <cell r="AE30" t="str">
            <v>Oct</v>
          </cell>
          <cell r="AF30">
            <v>2769</v>
          </cell>
          <cell r="AG30">
            <v>2769</v>
          </cell>
        </row>
        <row r="31">
          <cell r="AE31" t="str">
            <v>Nov</v>
          </cell>
          <cell r="AF31">
            <v>2772</v>
          </cell>
          <cell r="AG31">
            <v>2772</v>
          </cell>
        </row>
        <row r="32">
          <cell r="AE32" t="str">
            <v>Dec</v>
          </cell>
          <cell r="AF32">
            <v>2758</v>
          </cell>
          <cell r="AG32">
            <v>2758</v>
          </cell>
        </row>
      </sheetData>
      <sheetData sheetId="9">
        <row r="15">
          <cell r="A15" t="str">
            <v>Male</v>
          </cell>
        </row>
      </sheetData>
      <sheetData sheetId="10">
        <row r="5">
          <cell r="O5" t="str">
            <v xml:space="preserve">Tourist Arrivals </v>
          </cell>
        </row>
      </sheetData>
      <sheetData sheetId="11">
        <row r="6">
          <cell r="A6" t="str">
            <v>Central/Eastern Europe</v>
          </cell>
        </row>
      </sheetData>
      <sheetData sheetId="12">
        <row r="27">
          <cell r="X27" t="str">
            <v>HA</v>
          </cell>
        </row>
      </sheetData>
      <sheetData sheetId="13">
        <row r="20">
          <cell r="V20" t="str">
            <v>Jan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77"/>
  <sheetViews>
    <sheetView tabSelected="1" zoomScale="86" zoomScaleNormal="86" zoomScaleSheetLayoutView="96" workbookViewId="0">
      <selection activeCell="P43" sqref="P43"/>
    </sheetView>
  </sheetViews>
  <sheetFormatPr defaultColWidth="8.85546875" defaultRowHeight="18"/>
  <cols>
    <col min="1" max="1" width="29.7109375" style="1" customWidth="1"/>
    <col min="2" max="13" width="10.5703125" style="1" customWidth="1"/>
    <col min="14" max="14" width="37" style="64" customWidth="1"/>
    <col min="15" max="15" width="2.5703125" style="1" customWidth="1"/>
    <col min="16" max="16" width="31.7109375" style="1" customWidth="1"/>
    <col min="17" max="21" width="38.42578125" style="1" customWidth="1"/>
    <col min="22" max="22" width="12.85546875" style="1" customWidth="1"/>
    <col min="23" max="23" width="16.85546875" style="1" customWidth="1"/>
    <col min="24" max="24" width="10.5703125" style="1" customWidth="1"/>
    <col min="25" max="25" width="9.7109375" style="1" customWidth="1"/>
    <col min="26" max="29" width="46.42578125" style="1" customWidth="1"/>
    <col min="30" max="16384" width="8.85546875" style="1"/>
  </cols>
  <sheetData>
    <row r="1" spans="1:30" ht="21.75" customHeight="1">
      <c r="A1" s="72" t="s">
        <v>28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52"/>
      <c r="P1" s="52"/>
      <c r="Q1" s="52"/>
      <c r="R1" s="52"/>
      <c r="S1" s="52"/>
      <c r="T1" s="52"/>
      <c r="U1" s="52"/>
      <c r="V1" s="7"/>
      <c r="W1" s="7"/>
      <c r="X1" s="7"/>
      <c r="Y1" s="7"/>
      <c r="Z1" s="7"/>
      <c r="AA1" s="7"/>
      <c r="AB1" s="7"/>
      <c r="AC1" s="7"/>
    </row>
    <row r="2" spans="1:30" ht="22.5" customHeight="1">
      <c r="A2" s="73" t="s">
        <v>27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8"/>
      <c r="P2" s="8"/>
      <c r="Q2" s="8"/>
      <c r="R2" s="8"/>
      <c r="S2" s="8"/>
      <c r="T2" s="8"/>
      <c r="U2" s="8"/>
      <c r="V2" s="2"/>
      <c r="W2" s="2"/>
      <c r="X2" s="2"/>
      <c r="Y2" s="2"/>
      <c r="Z2" s="2"/>
      <c r="AA2" s="2"/>
      <c r="AB2" s="2"/>
      <c r="AC2" s="2"/>
    </row>
    <row r="3" spans="1:30" s="3" customFormat="1" ht="18.600000000000001" customHeight="1">
      <c r="A3" s="9" t="s">
        <v>3</v>
      </c>
      <c r="B3" s="4">
        <v>2012</v>
      </c>
      <c r="C3" s="4">
        <v>2013</v>
      </c>
      <c r="D3" s="4">
        <v>2014</v>
      </c>
      <c r="E3" s="4">
        <v>2015</v>
      </c>
      <c r="F3" s="4">
        <v>2016</v>
      </c>
      <c r="G3" s="4">
        <v>2017</v>
      </c>
      <c r="H3" s="4">
        <v>2018</v>
      </c>
      <c r="I3" s="4">
        <v>2019</v>
      </c>
      <c r="J3" s="4">
        <v>2020</v>
      </c>
      <c r="K3" s="4">
        <v>2021</v>
      </c>
      <c r="L3" s="4">
        <v>2022</v>
      </c>
      <c r="M3" s="4">
        <v>2023</v>
      </c>
      <c r="N3" s="54" t="s">
        <v>4</v>
      </c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 spans="1:30" s="3" customFormat="1" ht="7.9" customHeight="1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55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30" s="16" customFormat="1" ht="17.25" customHeight="1">
      <c r="A5" s="13" t="s">
        <v>5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56" t="s">
        <v>6</v>
      </c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</row>
    <row r="6" spans="1:30" s="16" customFormat="1" ht="17.25" customHeight="1">
      <c r="A6" s="13" t="s">
        <v>0</v>
      </c>
      <c r="B6" s="17">
        <f t="shared" ref="B6:F6" si="0">SUM(B7:B10)</f>
        <v>28120</v>
      </c>
      <c r="C6" s="17">
        <f t="shared" si="0"/>
        <v>29829</v>
      </c>
      <c r="D6" s="17">
        <f t="shared" si="0"/>
        <v>31673</v>
      </c>
      <c r="E6" s="17">
        <f t="shared" si="0"/>
        <v>34085</v>
      </c>
      <c r="F6" s="17">
        <f t="shared" si="0"/>
        <v>37374</v>
      </c>
      <c r="G6" s="17">
        <f t="shared" ref="G6:L6" si="1">SUM(G7:G10)</f>
        <v>41255</v>
      </c>
      <c r="H6" s="17">
        <f t="shared" si="1"/>
        <v>45154</v>
      </c>
      <c r="I6" s="17">
        <f t="shared" si="1"/>
        <v>51362</v>
      </c>
      <c r="J6" s="17">
        <f t="shared" si="1"/>
        <v>52108</v>
      </c>
      <c r="K6" s="17">
        <f t="shared" si="1"/>
        <v>57091</v>
      </c>
      <c r="L6" s="17">
        <f t="shared" si="1"/>
        <v>60649</v>
      </c>
      <c r="M6" s="17">
        <f t="shared" ref="M6" si="2">SUM(M7:M10)</f>
        <v>62367.083333333336</v>
      </c>
      <c r="N6" s="57" t="s">
        <v>7</v>
      </c>
      <c r="O6" s="18"/>
      <c r="Q6" s="18"/>
      <c r="R6" s="18"/>
      <c r="S6" s="18"/>
      <c r="T6" s="18"/>
      <c r="U6" s="18"/>
      <c r="V6" s="18"/>
      <c r="W6" s="15"/>
      <c r="X6" s="18"/>
      <c r="Y6" s="18"/>
      <c r="Z6" s="18"/>
      <c r="AA6" s="18"/>
      <c r="AB6" s="18"/>
      <c r="AC6" s="18"/>
    </row>
    <row r="7" spans="1:30" s="16" customFormat="1" ht="17.25" customHeight="1">
      <c r="A7" s="19" t="s">
        <v>8</v>
      </c>
      <c r="B7" s="20">
        <v>22889</v>
      </c>
      <c r="C7" s="20">
        <v>23487</v>
      </c>
      <c r="D7" s="20">
        <v>24031</v>
      </c>
      <c r="E7" s="20">
        <v>24877</v>
      </c>
      <c r="F7" s="20">
        <v>26933</v>
      </c>
      <c r="G7" s="20">
        <v>29977</v>
      </c>
      <c r="H7" s="20">
        <v>31971</v>
      </c>
      <c r="I7" s="20">
        <v>37004</v>
      </c>
      <c r="J7" s="20">
        <v>37134</v>
      </c>
      <c r="K7" s="20">
        <v>39604</v>
      </c>
      <c r="L7" s="20">
        <v>41945</v>
      </c>
      <c r="M7" s="20">
        <v>42732</v>
      </c>
      <c r="N7" s="21" t="s">
        <v>9</v>
      </c>
      <c r="O7" s="21"/>
      <c r="Q7" s="21"/>
      <c r="R7" s="21"/>
      <c r="S7" s="21"/>
      <c r="T7" s="21"/>
      <c r="U7" s="21"/>
      <c r="V7" s="22"/>
      <c r="W7" s="15"/>
      <c r="X7" s="23"/>
      <c r="Y7" s="24"/>
      <c r="Z7" s="24"/>
      <c r="AA7" s="24"/>
      <c r="AB7" s="24"/>
      <c r="AC7" s="24"/>
      <c r="AD7" s="25"/>
    </row>
    <row r="8" spans="1:30" s="16" customFormat="1" ht="17.25" customHeight="1">
      <c r="A8" s="19" t="s">
        <v>10</v>
      </c>
      <c r="B8" s="20">
        <v>1627</v>
      </c>
      <c r="C8" s="20">
        <v>1708</v>
      </c>
      <c r="D8" s="20">
        <v>1704</v>
      </c>
      <c r="E8" s="20">
        <v>1648</v>
      </c>
      <c r="F8" s="20">
        <v>1713</v>
      </c>
      <c r="G8" s="20">
        <v>1456</v>
      </c>
      <c r="H8" s="20">
        <v>1862</v>
      </c>
      <c r="I8" s="20">
        <v>1642</v>
      </c>
      <c r="J8" s="20">
        <v>1698</v>
      </c>
      <c r="K8" s="20">
        <v>1508</v>
      </c>
      <c r="L8" s="20">
        <v>1640</v>
      </c>
      <c r="M8" s="20">
        <v>1765</v>
      </c>
      <c r="N8" s="58" t="s">
        <v>11</v>
      </c>
      <c r="O8" s="27"/>
      <c r="Q8" s="27"/>
      <c r="R8" s="27"/>
      <c r="S8" s="27"/>
      <c r="T8" s="27"/>
      <c r="U8" s="27"/>
      <c r="V8" s="22"/>
      <c r="W8" s="15"/>
      <c r="X8" s="23"/>
      <c r="Y8" s="24"/>
      <c r="Z8" s="24"/>
      <c r="AA8" s="24"/>
      <c r="AB8" s="24"/>
      <c r="AC8" s="24"/>
    </row>
    <row r="9" spans="1:30" s="16" customFormat="1" ht="17.25" customHeight="1">
      <c r="A9" s="19" t="s">
        <v>12</v>
      </c>
      <c r="B9" s="20">
        <v>1101</v>
      </c>
      <c r="C9" s="20">
        <v>1918</v>
      </c>
      <c r="D9" s="20">
        <v>3199</v>
      </c>
      <c r="E9" s="20">
        <v>4621</v>
      </c>
      <c r="F9" s="20">
        <v>6034</v>
      </c>
      <c r="G9" s="20">
        <v>7304</v>
      </c>
      <c r="H9" s="20">
        <v>8563</v>
      </c>
      <c r="I9" s="20">
        <v>9753</v>
      </c>
      <c r="J9" s="20">
        <v>10343</v>
      </c>
      <c r="K9" s="20">
        <v>13040</v>
      </c>
      <c r="L9" s="20">
        <v>14146</v>
      </c>
      <c r="M9" s="20">
        <v>14784.583333333334</v>
      </c>
      <c r="N9" s="58" t="s">
        <v>13</v>
      </c>
      <c r="O9" s="27"/>
      <c r="Q9" s="27"/>
      <c r="R9" s="27"/>
      <c r="S9" s="27"/>
      <c r="T9" s="27"/>
      <c r="U9" s="27"/>
      <c r="V9" s="22"/>
      <c r="W9" s="15"/>
      <c r="X9" s="23"/>
      <c r="Y9" s="24"/>
      <c r="Z9" s="24"/>
      <c r="AA9" s="24"/>
      <c r="AB9" s="24"/>
      <c r="AC9" s="24"/>
    </row>
    <row r="10" spans="1:30" s="16" customFormat="1" ht="17.25" customHeight="1">
      <c r="A10" s="28" t="s">
        <v>14</v>
      </c>
      <c r="B10" s="29">
        <v>2503</v>
      </c>
      <c r="C10" s="29">
        <v>2716</v>
      </c>
      <c r="D10" s="29">
        <v>2739</v>
      </c>
      <c r="E10" s="29">
        <v>2939</v>
      </c>
      <c r="F10" s="29">
        <v>2694</v>
      </c>
      <c r="G10" s="29">
        <v>2518</v>
      </c>
      <c r="H10" s="29">
        <v>2758</v>
      </c>
      <c r="I10" s="29">
        <v>2963</v>
      </c>
      <c r="J10" s="29">
        <v>2933</v>
      </c>
      <c r="K10" s="29">
        <v>2939</v>
      </c>
      <c r="L10" s="29">
        <v>2918</v>
      </c>
      <c r="M10" s="29">
        <v>3085.5</v>
      </c>
      <c r="N10" s="59" t="s">
        <v>15</v>
      </c>
      <c r="O10" s="27"/>
      <c r="Q10" s="27"/>
      <c r="R10" s="27"/>
      <c r="S10" s="27"/>
      <c r="T10" s="27"/>
      <c r="U10" s="27"/>
      <c r="V10" s="22"/>
      <c r="W10" s="15"/>
      <c r="X10" s="23"/>
      <c r="Y10" s="24"/>
      <c r="Z10" s="24"/>
      <c r="AA10" s="24"/>
      <c r="AB10" s="24"/>
      <c r="AC10" s="24"/>
    </row>
    <row r="11" spans="1:30" ht="18.75">
      <c r="A11" s="13" t="s">
        <v>24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30" t="s">
        <v>16</v>
      </c>
      <c r="P11" s="67"/>
      <c r="Q11" s="67"/>
    </row>
    <row r="12" spans="1:30" ht="15.75">
      <c r="A12" s="13" t="s">
        <v>0</v>
      </c>
      <c r="B12" s="17">
        <f t="shared" ref="B12:J12" si="3">SUM(B13:B16)</f>
        <v>26798.166666666664</v>
      </c>
      <c r="C12" s="17">
        <f t="shared" si="3"/>
        <v>27997.916666666664</v>
      </c>
      <c r="D12" s="17">
        <f t="shared" si="3"/>
        <v>29515.25</v>
      </c>
      <c r="E12" s="17">
        <f t="shared" si="3"/>
        <v>31423.916666666672</v>
      </c>
      <c r="F12" s="17">
        <f t="shared" si="3"/>
        <v>33802.25</v>
      </c>
      <c r="G12" s="17">
        <f t="shared" si="3"/>
        <v>38592.333333333336</v>
      </c>
      <c r="H12" s="17">
        <f t="shared" si="3"/>
        <v>41886.666666666672</v>
      </c>
      <c r="I12" s="17">
        <f t="shared" si="3"/>
        <v>47268.5</v>
      </c>
      <c r="J12" s="17">
        <f t="shared" si="3"/>
        <v>27744.666666666668</v>
      </c>
      <c r="K12" s="17">
        <f>SUM(K13:K16)</f>
        <v>53160</v>
      </c>
      <c r="L12" s="17">
        <f>SUM(L13:L16)</f>
        <v>59755</v>
      </c>
      <c r="M12" s="17">
        <f>SUM(M13:M16)</f>
        <v>61579.75</v>
      </c>
      <c r="N12" s="57" t="s">
        <v>7</v>
      </c>
      <c r="P12" s="68"/>
      <c r="Q12" s="68"/>
    </row>
    <row r="13" spans="1:30" ht="18.75">
      <c r="A13" s="19" t="s">
        <v>8</v>
      </c>
      <c r="B13" s="20">
        <v>21887.833333333332</v>
      </c>
      <c r="C13" s="20">
        <v>22511.833333333332</v>
      </c>
      <c r="D13" s="20">
        <v>22986.166666666668</v>
      </c>
      <c r="E13" s="20">
        <v>23348.416666666668</v>
      </c>
      <c r="F13" s="20">
        <v>24567.666666666668</v>
      </c>
      <c r="G13" s="20">
        <v>27685.916666666668</v>
      </c>
      <c r="H13" s="20">
        <v>29399.666666666668</v>
      </c>
      <c r="I13" s="20">
        <v>33439.75</v>
      </c>
      <c r="J13" s="20">
        <v>21445.666666666668</v>
      </c>
      <c r="K13" s="20">
        <v>38226</v>
      </c>
      <c r="L13" s="20">
        <v>41049</v>
      </c>
      <c r="M13" s="20">
        <v>41944.666666666664</v>
      </c>
      <c r="N13" s="21" t="s">
        <v>9</v>
      </c>
      <c r="P13" s="68"/>
      <c r="Q13" s="67"/>
    </row>
    <row r="14" spans="1:30" ht="15.75">
      <c r="A14" s="19" t="s">
        <v>10</v>
      </c>
      <c r="B14" s="20">
        <v>1591.3333333333333</v>
      </c>
      <c r="C14" s="20">
        <v>1540.0833333333333</v>
      </c>
      <c r="D14" s="20">
        <v>1435.25</v>
      </c>
      <c r="E14" s="20">
        <v>1456.1666666666667</v>
      </c>
      <c r="F14" s="20">
        <v>1465.5</v>
      </c>
      <c r="G14" s="20">
        <v>1496.8333333333333</v>
      </c>
      <c r="H14" s="20">
        <v>1759</v>
      </c>
      <c r="I14" s="20">
        <v>1723</v>
      </c>
      <c r="J14" s="20">
        <v>1032.5</v>
      </c>
      <c r="K14" s="20">
        <v>1360</v>
      </c>
      <c r="L14" s="20">
        <v>1640</v>
      </c>
      <c r="M14" s="20">
        <v>1765</v>
      </c>
      <c r="N14" s="58" t="s">
        <v>11</v>
      </c>
      <c r="P14" s="67"/>
      <c r="Q14" s="67"/>
    </row>
    <row r="15" spans="1:30" ht="15.75">
      <c r="A15" s="19" t="s">
        <v>12</v>
      </c>
      <c r="B15" s="20">
        <v>844.5</v>
      </c>
      <c r="C15" s="20">
        <v>1401.5833333333333</v>
      </c>
      <c r="D15" s="20">
        <v>2477.25</v>
      </c>
      <c r="E15" s="20">
        <v>3831.1666666666665</v>
      </c>
      <c r="F15" s="20">
        <v>5248.916666666667</v>
      </c>
      <c r="G15" s="20">
        <v>6728.833333333333</v>
      </c>
      <c r="H15" s="20">
        <v>8000</v>
      </c>
      <c r="I15" s="20">
        <v>9200.1666666666661</v>
      </c>
      <c r="J15" s="20">
        <v>3615.0833333333335</v>
      </c>
      <c r="K15" s="20">
        <v>10716</v>
      </c>
      <c r="L15" s="20">
        <v>14148</v>
      </c>
      <c r="M15" s="20">
        <v>14784.583333333334</v>
      </c>
      <c r="N15" s="58" t="s">
        <v>13</v>
      </c>
      <c r="P15" s="67"/>
      <c r="Q15" s="67"/>
    </row>
    <row r="16" spans="1:30" ht="15.75">
      <c r="A16" s="31" t="s">
        <v>14</v>
      </c>
      <c r="B16" s="32">
        <v>2474.5</v>
      </c>
      <c r="C16" s="32">
        <v>2544.4166666666665</v>
      </c>
      <c r="D16" s="32">
        <v>2616.5833333333335</v>
      </c>
      <c r="E16" s="32">
        <v>2788.1666666666665</v>
      </c>
      <c r="F16" s="32">
        <v>2520.1666666666665</v>
      </c>
      <c r="G16" s="32">
        <v>2680.75</v>
      </c>
      <c r="H16" s="32">
        <v>2728</v>
      </c>
      <c r="I16" s="32">
        <v>2905.5833333333335</v>
      </c>
      <c r="J16" s="32">
        <v>1651.4166666666667</v>
      </c>
      <c r="K16" s="32">
        <v>2858</v>
      </c>
      <c r="L16" s="32">
        <v>2918</v>
      </c>
      <c r="M16" s="32">
        <v>3085.5</v>
      </c>
      <c r="N16" s="60" t="s">
        <v>15</v>
      </c>
      <c r="P16" s="51"/>
      <c r="Q16" s="51"/>
    </row>
    <row r="17" spans="1:29" ht="12.75" customHeight="1">
      <c r="A17" s="13" t="s">
        <v>17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66" t="s">
        <v>18</v>
      </c>
      <c r="O17" s="33"/>
      <c r="P17" s="33"/>
      <c r="Q17" s="33"/>
      <c r="R17" s="33"/>
      <c r="S17" s="33"/>
      <c r="T17" s="33"/>
      <c r="U17" s="33"/>
      <c r="V17" s="18"/>
      <c r="W17" s="15"/>
      <c r="X17" s="18"/>
      <c r="Y17" s="18"/>
      <c r="Z17" s="18"/>
      <c r="AA17" s="18"/>
      <c r="AB17" s="18"/>
      <c r="AC17" s="18"/>
    </row>
    <row r="18" spans="1:29" s="16" customFormat="1" ht="17.25" customHeight="1">
      <c r="A18" s="13" t="s">
        <v>0</v>
      </c>
      <c r="B18" s="34">
        <f t="shared" ref="B18:E18" si="4">SUM(B19:B22)</f>
        <v>353</v>
      </c>
      <c r="C18" s="34">
        <f t="shared" si="4"/>
        <v>429</v>
      </c>
      <c r="D18" s="34">
        <f>SUM(D19:D22)</f>
        <v>511</v>
      </c>
      <c r="E18" s="34">
        <f t="shared" si="4"/>
        <v>615</v>
      </c>
      <c r="F18" s="34">
        <f t="shared" ref="F18:K18" si="5">SUM(F19:F22)</f>
        <v>679</v>
      </c>
      <c r="G18" s="34">
        <f t="shared" si="5"/>
        <v>736</v>
      </c>
      <c r="H18" s="34">
        <f t="shared" si="5"/>
        <v>825</v>
      </c>
      <c r="I18" s="34">
        <f t="shared" si="5"/>
        <v>938</v>
      </c>
      <c r="J18" s="34">
        <f t="shared" si="5"/>
        <v>949</v>
      </c>
      <c r="K18" s="34">
        <f t="shared" si="5"/>
        <v>1137</v>
      </c>
      <c r="L18" s="34">
        <f t="shared" ref="L18:M18" si="6">SUM(L19:L22)</f>
        <v>1216</v>
      </c>
      <c r="M18" s="34">
        <f t="shared" si="6"/>
        <v>1156</v>
      </c>
      <c r="N18" s="57" t="s">
        <v>7</v>
      </c>
      <c r="O18" s="18"/>
      <c r="R18" s="18"/>
      <c r="S18" s="18"/>
      <c r="T18" s="18"/>
      <c r="U18" s="18"/>
      <c r="V18" s="18"/>
      <c r="W18" s="15"/>
      <c r="X18" s="18"/>
      <c r="Y18" s="18"/>
      <c r="Z18" s="18"/>
      <c r="AA18" s="18"/>
      <c r="AB18" s="18"/>
      <c r="AC18" s="18"/>
    </row>
    <row r="19" spans="1:29" s="16" customFormat="1" ht="17.25" customHeight="1">
      <c r="A19" s="19" t="s">
        <v>8</v>
      </c>
      <c r="B19" s="20">
        <v>105</v>
      </c>
      <c r="C19" s="20">
        <v>110</v>
      </c>
      <c r="D19" s="20">
        <v>111</v>
      </c>
      <c r="E19" s="20">
        <v>115</v>
      </c>
      <c r="F19" s="20">
        <v>126</v>
      </c>
      <c r="G19" s="20">
        <v>135</v>
      </c>
      <c r="H19" s="20">
        <v>145</v>
      </c>
      <c r="I19" s="20">
        <v>164</v>
      </c>
      <c r="J19" s="20">
        <v>156</v>
      </c>
      <c r="K19" s="20">
        <v>167</v>
      </c>
      <c r="L19" s="20">
        <v>172</v>
      </c>
      <c r="M19" s="20">
        <v>180</v>
      </c>
      <c r="N19" s="21" t="s">
        <v>9</v>
      </c>
      <c r="O19" s="21"/>
      <c r="Q19" s="21"/>
      <c r="R19" s="21"/>
      <c r="S19" s="21"/>
      <c r="T19" s="21"/>
      <c r="U19" s="21"/>
      <c r="V19" s="36"/>
      <c r="W19" s="15"/>
      <c r="X19" s="24"/>
      <c r="Y19" s="24"/>
      <c r="Z19" s="24"/>
      <c r="AA19" s="24"/>
      <c r="AB19" s="24"/>
      <c r="AC19" s="24"/>
    </row>
    <row r="20" spans="1:29" s="16" customFormat="1" ht="17.25" customHeight="1">
      <c r="A20" s="19" t="s">
        <v>10</v>
      </c>
      <c r="B20" s="20">
        <v>19</v>
      </c>
      <c r="C20" s="20">
        <v>20</v>
      </c>
      <c r="D20" s="20">
        <v>19</v>
      </c>
      <c r="E20" s="20">
        <v>17</v>
      </c>
      <c r="F20" s="20">
        <v>16</v>
      </c>
      <c r="G20" s="20">
        <v>10</v>
      </c>
      <c r="H20" s="20">
        <v>12</v>
      </c>
      <c r="I20" s="20">
        <v>12</v>
      </c>
      <c r="J20" s="20">
        <v>13</v>
      </c>
      <c r="K20" s="20">
        <v>11</v>
      </c>
      <c r="L20" s="20">
        <v>13</v>
      </c>
      <c r="M20" s="20">
        <v>14</v>
      </c>
      <c r="N20" s="58" t="s">
        <v>19</v>
      </c>
      <c r="O20" s="27"/>
      <c r="Q20" s="27"/>
      <c r="R20" s="27"/>
      <c r="S20" s="27"/>
      <c r="T20" s="27"/>
      <c r="U20" s="27"/>
      <c r="V20" s="36"/>
      <c r="W20" s="15"/>
      <c r="X20" s="24"/>
      <c r="Y20" s="24"/>
      <c r="Z20" s="24"/>
      <c r="AA20" s="24"/>
      <c r="AB20" s="24"/>
      <c r="AC20" s="24"/>
    </row>
    <row r="21" spans="1:29" s="16" customFormat="1" ht="17.25" customHeight="1">
      <c r="A21" s="19" t="s">
        <v>12</v>
      </c>
      <c r="B21" s="20">
        <v>75</v>
      </c>
      <c r="C21" s="20">
        <v>136</v>
      </c>
      <c r="D21" s="20">
        <v>220</v>
      </c>
      <c r="E21" s="20">
        <v>313</v>
      </c>
      <c r="F21" s="20">
        <v>393</v>
      </c>
      <c r="G21" s="20">
        <v>458</v>
      </c>
      <c r="H21" s="20">
        <v>521</v>
      </c>
      <c r="I21" s="20">
        <v>605</v>
      </c>
      <c r="J21" s="20">
        <v>638</v>
      </c>
      <c r="K21" s="20">
        <v>802</v>
      </c>
      <c r="L21" s="20">
        <v>874</v>
      </c>
      <c r="M21" s="20">
        <v>815</v>
      </c>
      <c r="N21" s="58" t="s">
        <v>13</v>
      </c>
      <c r="O21" s="27"/>
      <c r="Q21" s="27"/>
      <c r="R21" s="27"/>
      <c r="S21" s="27"/>
      <c r="T21" s="27"/>
      <c r="U21" s="27"/>
      <c r="V21" s="36"/>
      <c r="W21" s="24"/>
      <c r="X21" s="37"/>
      <c r="Y21" s="24"/>
      <c r="Z21" s="24"/>
      <c r="AA21" s="24"/>
      <c r="AB21" s="24"/>
      <c r="AC21" s="24"/>
    </row>
    <row r="22" spans="1:29" s="16" customFormat="1" ht="17.25" customHeight="1">
      <c r="A22" s="28" t="s">
        <v>14</v>
      </c>
      <c r="B22" s="38">
        <v>154</v>
      </c>
      <c r="C22" s="38">
        <v>163</v>
      </c>
      <c r="D22" s="38">
        <v>161</v>
      </c>
      <c r="E22" s="38">
        <v>170</v>
      </c>
      <c r="F22" s="38">
        <v>144</v>
      </c>
      <c r="G22" s="38">
        <v>133</v>
      </c>
      <c r="H22" s="38">
        <v>147</v>
      </c>
      <c r="I22" s="38">
        <v>157</v>
      </c>
      <c r="J22" s="38">
        <v>142</v>
      </c>
      <c r="K22" s="38">
        <v>157</v>
      </c>
      <c r="L22" s="38">
        <v>157</v>
      </c>
      <c r="M22" s="38">
        <v>147</v>
      </c>
      <c r="N22" s="61" t="s">
        <v>15</v>
      </c>
      <c r="O22" s="39"/>
      <c r="Q22" s="39"/>
      <c r="R22" s="39"/>
      <c r="S22" s="39"/>
      <c r="T22" s="39"/>
      <c r="U22" s="39"/>
      <c r="V22" s="36"/>
      <c r="W22" s="40"/>
      <c r="X22" s="37"/>
      <c r="Y22" s="40"/>
      <c r="Z22" s="40"/>
      <c r="AA22" s="40"/>
      <c r="AB22" s="40"/>
      <c r="AC22" s="40"/>
    </row>
    <row r="23" spans="1:29" ht="18.75">
      <c r="A23" s="13" t="s">
        <v>20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66" t="s">
        <v>21</v>
      </c>
    </row>
    <row r="24" spans="1:29" ht="15.75">
      <c r="A24" s="13" t="s">
        <v>0</v>
      </c>
      <c r="B24" s="17">
        <f t="shared" ref="B24:J24" si="7">SUM(B25:B28)</f>
        <v>323.08333333333337</v>
      </c>
      <c r="C24" s="17">
        <f t="shared" si="7"/>
        <v>370.33333333333337</v>
      </c>
      <c r="D24" s="17">
        <f t="shared" si="7"/>
        <v>448.16666666666663</v>
      </c>
      <c r="E24" s="17">
        <f t="shared" si="7"/>
        <v>540.33333333333337</v>
      </c>
      <c r="F24" s="17">
        <f t="shared" si="7"/>
        <v>611.41666666666663</v>
      </c>
      <c r="G24" s="17">
        <f t="shared" si="7"/>
        <v>713.41666666666663</v>
      </c>
      <c r="H24" s="17">
        <f t="shared" si="7"/>
        <v>777</v>
      </c>
      <c r="I24" s="17">
        <f t="shared" si="7"/>
        <v>872.16666666666663</v>
      </c>
      <c r="J24" s="17">
        <f t="shared" si="7"/>
        <v>550</v>
      </c>
      <c r="K24" s="17">
        <f t="shared" ref="K24:L24" si="8">SUM(K25:K28)</f>
        <v>929</v>
      </c>
      <c r="L24" s="17">
        <f t="shared" si="8"/>
        <v>1212</v>
      </c>
      <c r="M24" s="17">
        <f t="shared" ref="M24" si="9">SUM(M25:M28)</f>
        <v>1152</v>
      </c>
      <c r="N24" s="57" t="s">
        <v>7</v>
      </c>
    </row>
    <row r="25" spans="1:29" ht="18.75">
      <c r="A25" s="19" t="s">
        <v>8</v>
      </c>
      <c r="B25" s="20">
        <v>97.666666666666671</v>
      </c>
      <c r="C25" s="20">
        <v>101.08333333333333</v>
      </c>
      <c r="D25" s="20">
        <v>104.41666666666667</v>
      </c>
      <c r="E25" s="20">
        <v>104.83333333333333</v>
      </c>
      <c r="F25" s="20">
        <v>111.08333333333333</v>
      </c>
      <c r="G25" s="20">
        <v>124.08333333333333</v>
      </c>
      <c r="H25" s="20">
        <v>130</v>
      </c>
      <c r="I25" s="20">
        <v>146</v>
      </c>
      <c r="J25" s="20">
        <v>140</v>
      </c>
      <c r="K25" s="20">
        <v>161</v>
      </c>
      <c r="L25" s="20">
        <v>168</v>
      </c>
      <c r="M25" s="20">
        <v>176</v>
      </c>
      <c r="N25" s="21" t="s">
        <v>9</v>
      </c>
    </row>
    <row r="26" spans="1:29" ht="15.75">
      <c r="A26" s="19" t="s">
        <v>10</v>
      </c>
      <c r="B26" s="20">
        <v>18.583333333333332</v>
      </c>
      <c r="C26" s="20">
        <v>17.333333333333332</v>
      </c>
      <c r="D26" s="20">
        <v>15.583333333333334</v>
      </c>
      <c r="E26" s="20">
        <v>14.333333333333334</v>
      </c>
      <c r="F26" s="20">
        <v>12.666666666666666</v>
      </c>
      <c r="G26" s="20">
        <v>11.916666666666666</v>
      </c>
      <c r="H26" s="20">
        <v>12</v>
      </c>
      <c r="I26" s="20">
        <v>11.416666666666666</v>
      </c>
      <c r="J26" s="20">
        <v>11</v>
      </c>
      <c r="K26" s="20">
        <v>10</v>
      </c>
      <c r="L26" s="20">
        <v>13</v>
      </c>
      <c r="M26" s="20">
        <v>14</v>
      </c>
      <c r="N26" s="58" t="s">
        <v>11</v>
      </c>
    </row>
    <row r="27" spans="1:29" ht="15.75">
      <c r="A27" s="19" t="s">
        <v>12</v>
      </c>
      <c r="B27" s="20">
        <v>54.333333333333336</v>
      </c>
      <c r="C27" s="20">
        <v>98.833333333333329</v>
      </c>
      <c r="D27" s="20">
        <v>172.91666666666666</v>
      </c>
      <c r="E27" s="20">
        <v>261.66666666666669</v>
      </c>
      <c r="F27" s="20">
        <v>353.5</v>
      </c>
      <c r="G27" s="20">
        <v>433.58333333333331</v>
      </c>
      <c r="H27" s="20">
        <v>490</v>
      </c>
      <c r="I27" s="20">
        <v>561</v>
      </c>
      <c r="J27" s="20">
        <v>268</v>
      </c>
      <c r="K27" s="20">
        <v>613</v>
      </c>
      <c r="L27" s="20">
        <v>874</v>
      </c>
      <c r="M27" s="20">
        <v>815</v>
      </c>
      <c r="N27" s="58" t="s">
        <v>13</v>
      </c>
    </row>
    <row r="28" spans="1:29" ht="15.75">
      <c r="A28" s="31" t="s">
        <v>14</v>
      </c>
      <c r="B28" s="32">
        <v>152.5</v>
      </c>
      <c r="C28" s="32">
        <v>153.08333333333334</v>
      </c>
      <c r="D28" s="32">
        <v>155.25</v>
      </c>
      <c r="E28" s="32">
        <v>159.5</v>
      </c>
      <c r="F28" s="32">
        <v>134.16666666666666</v>
      </c>
      <c r="G28" s="32">
        <v>143.83333333333334</v>
      </c>
      <c r="H28" s="32">
        <v>145</v>
      </c>
      <c r="I28" s="32">
        <v>153.75</v>
      </c>
      <c r="J28" s="32">
        <v>131</v>
      </c>
      <c r="K28" s="32">
        <v>145</v>
      </c>
      <c r="L28" s="32">
        <v>157</v>
      </c>
      <c r="M28" s="32">
        <v>147</v>
      </c>
      <c r="N28" s="60" t="s">
        <v>15</v>
      </c>
    </row>
    <row r="29" spans="1:29" ht="18.75">
      <c r="A29" s="13" t="s">
        <v>23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30" t="s">
        <v>22</v>
      </c>
    </row>
    <row r="30" spans="1:29" ht="18.75">
      <c r="A30" s="19" t="s">
        <v>8</v>
      </c>
      <c r="B30" s="20">
        <v>86.688769701127484</v>
      </c>
      <c r="C30" s="20">
        <v>88.595126530663109</v>
      </c>
      <c r="D30" s="20">
        <v>81.856214093483658</v>
      </c>
      <c r="E30" s="20">
        <v>76.220607180907422</v>
      </c>
      <c r="F30" s="20">
        <v>73.996436740211678</v>
      </c>
      <c r="G30" s="20">
        <v>72.738665701182953</v>
      </c>
      <c r="H30" s="20">
        <v>74.599999999999994</v>
      </c>
      <c r="I30" s="20">
        <v>74.139742717834707</v>
      </c>
      <c r="J30" s="20">
        <v>28.978640707515321</v>
      </c>
      <c r="K30" s="20">
        <v>63</v>
      </c>
      <c r="L30" s="20">
        <v>71.400000000000006</v>
      </c>
      <c r="M30" s="20">
        <v>63.8</v>
      </c>
      <c r="N30" s="21" t="s">
        <v>9</v>
      </c>
    </row>
    <row r="31" spans="1:29" ht="15.75">
      <c r="A31" s="19" t="s">
        <v>10</v>
      </c>
      <c r="B31" s="20">
        <v>36.663245078967122</v>
      </c>
      <c r="C31" s="20">
        <v>37.491387357802637</v>
      </c>
      <c r="D31" s="20">
        <v>42.621855635268837</v>
      </c>
      <c r="E31" s="20">
        <v>38.453285628742037</v>
      </c>
      <c r="F31" s="20">
        <v>40.343422717733894</v>
      </c>
      <c r="G31" s="20">
        <v>44.192331264448093</v>
      </c>
      <c r="H31" s="20">
        <v>40.4</v>
      </c>
      <c r="I31" s="20">
        <v>45.412556932056837</v>
      </c>
      <c r="J31" s="20">
        <v>17.074461530906429</v>
      </c>
      <c r="K31" s="20">
        <v>41.4</v>
      </c>
      <c r="L31" s="20">
        <v>36.4</v>
      </c>
      <c r="M31" s="20">
        <v>39.5</v>
      </c>
      <c r="N31" s="58" t="s">
        <v>19</v>
      </c>
    </row>
    <row r="32" spans="1:29" ht="15.75">
      <c r="A32" s="19" t="s">
        <v>12</v>
      </c>
      <c r="B32" s="20">
        <v>18.438426739984173</v>
      </c>
      <c r="C32" s="20">
        <v>23.215800959283015</v>
      </c>
      <c r="D32" s="20">
        <v>18.290859127152753</v>
      </c>
      <c r="E32" s="20">
        <v>23.754186523394655</v>
      </c>
      <c r="F32" s="20">
        <v>33.515560141504473</v>
      </c>
      <c r="G32" s="20">
        <v>30.768031823623502</v>
      </c>
      <c r="H32" s="20">
        <v>32.6</v>
      </c>
      <c r="I32" s="20">
        <v>33.86767677413031</v>
      </c>
      <c r="J32" s="20">
        <v>18.371216403823603</v>
      </c>
      <c r="K32" s="20">
        <v>33.700000000000003</v>
      </c>
      <c r="L32" s="20">
        <v>30.8</v>
      </c>
      <c r="M32" s="20">
        <v>57.2</v>
      </c>
      <c r="N32" s="58" t="s">
        <v>13</v>
      </c>
    </row>
    <row r="33" spans="1:30" ht="17.25">
      <c r="A33" s="31" t="s">
        <v>14</v>
      </c>
      <c r="B33" s="41">
        <v>41.030046881673968</v>
      </c>
      <c r="C33" s="41">
        <v>46.938810104897328</v>
      </c>
      <c r="D33" s="41">
        <v>26.948089288930188</v>
      </c>
      <c r="E33" s="41">
        <v>29.175364104266588</v>
      </c>
      <c r="F33" s="41">
        <v>28.96464254150591</v>
      </c>
      <c r="G33" s="41">
        <v>26.385018397706389</v>
      </c>
      <c r="H33" s="41">
        <v>28.1</v>
      </c>
      <c r="I33" s="41">
        <v>26.153650176008821</v>
      </c>
      <c r="J33" s="41">
        <v>12.572498801223105</v>
      </c>
      <c r="K33" s="41">
        <v>19.3</v>
      </c>
      <c r="L33" s="41">
        <v>24.2</v>
      </c>
      <c r="M33" s="41">
        <v>19.3</v>
      </c>
      <c r="N33" s="62" t="s">
        <v>15</v>
      </c>
    </row>
    <row r="34" spans="1:30" s="16" customFormat="1" ht="15.75" customHeight="1">
      <c r="A34" s="70" t="s">
        <v>26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69" t="s">
        <v>25</v>
      </c>
      <c r="O34" s="39"/>
      <c r="P34" s="39"/>
      <c r="Q34" s="39"/>
      <c r="R34" s="39"/>
      <c r="S34" s="39"/>
      <c r="T34" s="39"/>
      <c r="U34" s="39"/>
      <c r="V34" s="36"/>
      <c r="W34" s="40"/>
      <c r="X34" s="37"/>
      <c r="Y34" s="40"/>
      <c r="Z34" s="40"/>
      <c r="AA34" s="40"/>
      <c r="AB34" s="40"/>
      <c r="AC34" s="40"/>
    </row>
    <row r="35" spans="1:30" s="16" customFormat="1" ht="18" customHeight="1">
      <c r="A35" s="5" t="s">
        <v>1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71" t="s">
        <v>2</v>
      </c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42"/>
    </row>
    <row r="36" spans="1:30" s="16" customFormat="1" ht="18" customHeight="1"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53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43"/>
    </row>
    <row r="37" spans="1:30" s="16" customFormat="1" ht="14.25">
      <c r="N37" s="63"/>
      <c r="W37" s="44" t="s">
        <v>8</v>
      </c>
      <c r="X37" s="45">
        <f>M7/$M$6*100</f>
        <v>68.516912634202072</v>
      </c>
      <c r="AD37" s="46"/>
    </row>
    <row r="38" spans="1:30" s="16" customFormat="1" ht="14.25">
      <c r="N38" s="63"/>
      <c r="W38" s="44" t="s">
        <v>10</v>
      </c>
      <c r="X38" s="45">
        <f t="shared" ref="X38:X40" si="10">M8/$M$6*100</f>
        <v>2.8300185060228085</v>
      </c>
      <c r="AD38" s="46"/>
    </row>
    <row r="39" spans="1:30" s="16" customFormat="1" ht="14.25">
      <c r="N39" s="63"/>
      <c r="W39" s="44" t="s">
        <v>12</v>
      </c>
      <c r="X39" s="45">
        <f t="shared" si="10"/>
        <v>23.705747556470094</v>
      </c>
      <c r="AD39" s="46"/>
    </row>
    <row r="40" spans="1:30" s="16" customFormat="1" ht="14.25">
      <c r="N40" s="63"/>
      <c r="W40" s="44" t="s">
        <v>14</v>
      </c>
      <c r="X40" s="45">
        <f t="shared" si="10"/>
        <v>4.9473213033050287</v>
      </c>
      <c r="AD40" s="46"/>
    </row>
    <row r="41" spans="1:30" s="16" customFormat="1" ht="14.25">
      <c r="N41" s="63"/>
      <c r="AD41" s="46"/>
    </row>
    <row r="42" spans="1:30">
      <c r="AD42" s="47"/>
    </row>
    <row r="43" spans="1:30">
      <c r="AD43" s="47"/>
    </row>
    <row r="44" spans="1:30">
      <c r="W44" s="44" t="s">
        <v>8</v>
      </c>
      <c r="X44" s="48">
        <f>M19/$M$18</f>
        <v>0.15570934256055363</v>
      </c>
      <c r="AD44" s="47"/>
    </row>
    <row r="45" spans="1:30">
      <c r="W45" s="44" t="s">
        <v>10</v>
      </c>
      <c r="X45" s="48">
        <f t="shared" ref="X45:X47" si="11">M20/$M$18</f>
        <v>1.2110726643598616E-2</v>
      </c>
      <c r="AD45" s="47"/>
    </row>
    <row r="46" spans="1:30">
      <c r="W46" s="44" t="s">
        <v>12</v>
      </c>
      <c r="X46" s="48">
        <f t="shared" si="11"/>
        <v>0.70501730103806226</v>
      </c>
      <c r="AD46" s="47"/>
    </row>
    <row r="47" spans="1:30">
      <c r="W47" s="44" t="s">
        <v>14</v>
      </c>
      <c r="X47" s="48">
        <f t="shared" si="11"/>
        <v>0.12716262975778547</v>
      </c>
      <c r="AD47" s="47"/>
    </row>
    <row r="72" spans="1:14" ht="15.75">
      <c r="A72" s="13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65"/>
    </row>
    <row r="73" spans="1:14" ht="15.75">
      <c r="A73" s="13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65"/>
    </row>
    <row r="74" spans="1:14" ht="15">
      <c r="A74" s="5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53"/>
    </row>
    <row r="75" spans="1:14" ht="15">
      <c r="A75" s="42"/>
      <c r="B75" s="42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3"/>
    </row>
    <row r="76" spans="1:14" ht="15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53"/>
    </row>
    <row r="77" spans="1:14" ht="15">
      <c r="A77" s="16"/>
      <c r="B77" s="16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53"/>
    </row>
  </sheetData>
  <mergeCells count="2">
    <mergeCell ref="A1:N1"/>
    <mergeCell ref="A2:N2"/>
  </mergeCells>
  <pageMargins left="0.7" right="0.7" top="0.75" bottom="0.75" header="0.3" footer="0.3"/>
  <pageSetup paperSize="9" scale="57" orientation="landscape" horizontalDpi="4294967295" verticalDpi="4294967295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10.2</vt:lpstr>
      <vt:lpstr>'10.2'!Print_Area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2024-07-09T03:07:55Z</cp:lastPrinted>
  <dcterms:created xsi:type="dcterms:W3CDTF">2019-02-27T06:18:18Z</dcterms:created>
  <dcterms:modified xsi:type="dcterms:W3CDTF">2024-07-09T03:09:29Z</dcterms:modified>
</cp:coreProperties>
</file>