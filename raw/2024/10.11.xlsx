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7726"/>
  <workbookPr/>
  <mc:AlternateContent xmlns:mc="http://schemas.openxmlformats.org/markup-compatibility/2006">
    <mc:Choice Requires="x15">
      <x15ac:absPath xmlns:x15ac="http://schemas.microsoft.com/office/spreadsheetml/2010/11/ac" url="\\fileserver\ST4\Dissemination\Publications\Statistical Year Book\YEARBOOK 2024\Final\Web\Tourism\"/>
    </mc:Choice>
  </mc:AlternateContent>
  <xr:revisionPtr revIDLastSave="0" documentId="13_ncr:1_{CA59F12A-EBAD-49C2-9A63-90AF02DE58AF}" xr6:coauthVersionLast="47" xr6:coauthVersionMax="47" xr10:uidLastSave="{00000000-0000-0000-0000-000000000000}"/>
  <bookViews>
    <workbookView xWindow="-120" yWindow="-120" windowWidth="29040" windowHeight="15720" tabRatio="714" xr2:uid="{00000000-000D-0000-FFFF-FFFF00000000}"/>
  </bookViews>
  <sheets>
    <sheet name="10.11" sheetId="11" r:id="rId1"/>
  </sheets>
  <externalReferences>
    <externalReference r:id="rId2"/>
  </externalReferences>
  <definedNames>
    <definedName name="_xlnm.Print_Area" localSheetId="0">'10.11'!$A$1:$O$46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AR28" i="11" l="1"/>
  <c r="AR37" i="11" l="1"/>
  <c r="H11" i="11" l="1"/>
  <c r="AS39" i="11" l="1"/>
  <c r="AR39" i="11"/>
  <c r="AS38" i="11"/>
  <c r="AR38" i="11"/>
  <c r="M11" i="11"/>
  <c r="AS37" i="11"/>
  <c r="AS32" i="11"/>
  <c r="AS31" i="11"/>
  <c r="AR30" i="11"/>
  <c r="AS29" i="11"/>
  <c r="BC39" i="11"/>
  <c r="BB39" i="11"/>
  <c r="BA39" i="11"/>
  <c r="AZ39" i="11"/>
  <c r="AY39" i="11"/>
  <c r="AX39" i="11"/>
  <c r="AW39" i="11"/>
  <c r="AV39" i="11"/>
  <c r="AU39" i="11"/>
  <c r="BC38" i="11"/>
  <c r="BB38" i="11"/>
  <c r="BA38" i="11"/>
  <c r="AZ38" i="11"/>
  <c r="AY38" i="11"/>
  <c r="AX38" i="11"/>
  <c r="AW38" i="11"/>
  <c r="AV38" i="11"/>
  <c r="AU38" i="11"/>
  <c r="BC37" i="11"/>
  <c r="BA37" i="11"/>
  <c r="AZ37" i="11"/>
  <c r="AY37" i="11"/>
  <c r="AX37" i="11"/>
  <c r="AW37" i="11"/>
  <c r="AV37" i="11"/>
  <c r="AU37" i="11"/>
  <c r="BC32" i="11"/>
  <c r="BB32" i="11"/>
  <c r="BA32" i="11"/>
  <c r="AZ32" i="11"/>
  <c r="AY32" i="11"/>
  <c r="AX32" i="11"/>
  <c r="AW32" i="11"/>
  <c r="AV32" i="11"/>
  <c r="AU32" i="11"/>
  <c r="AT32" i="11"/>
  <c r="AR32" i="11"/>
  <c r="BC31" i="11"/>
  <c r="BB31" i="11"/>
  <c r="BA31" i="11"/>
  <c r="AZ31" i="11"/>
  <c r="AY31" i="11"/>
  <c r="AX31" i="11"/>
  <c r="AW31" i="11"/>
  <c r="AV31" i="11"/>
  <c r="AU31" i="11"/>
  <c r="AT31" i="11"/>
  <c r="AR31" i="11"/>
  <c r="BC30" i="11"/>
  <c r="BB30" i="11"/>
  <c r="BA30" i="11"/>
  <c r="AZ30" i="11"/>
  <c r="AY30" i="11"/>
  <c r="AX30" i="11"/>
  <c r="AW30" i="11"/>
  <c r="AV30" i="11"/>
  <c r="AU30" i="11"/>
  <c r="AT30" i="11"/>
  <c r="BC29" i="11"/>
  <c r="BB29" i="11"/>
  <c r="BA29" i="11"/>
  <c r="AZ29" i="11"/>
  <c r="AY29" i="11"/>
  <c r="AX29" i="11"/>
  <c r="AW29" i="11"/>
  <c r="AV29" i="11"/>
  <c r="AU29" i="11"/>
  <c r="AT29" i="11"/>
  <c r="AR29" i="11"/>
  <c r="BC28" i="11"/>
  <c r="BB28" i="11"/>
  <c r="BA28" i="11"/>
  <c r="AZ28" i="11"/>
  <c r="AY28" i="11"/>
  <c r="AX28" i="11"/>
  <c r="AW28" i="11"/>
  <c r="AV28" i="11"/>
  <c r="AU28" i="11"/>
  <c r="AT28" i="11"/>
  <c r="AS28" i="11"/>
  <c r="B20" i="11"/>
  <c r="B19" i="11"/>
  <c r="N11" i="11"/>
  <c r="L11" i="11"/>
  <c r="K11" i="11"/>
  <c r="J11" i="11"/>
  <c r="I11" i="11"/>
  <c r="G11" i="11"/>
  <c r="F11" i="11"/>
  <c r="N5" i="11"/>
  <c r="M5" i="11"/>
  <c r="L5" i="11"/>
  <c r="K5" i="11"/>
  <c r="J5" i="11"/>
  <c r="I5" i="11"/>
  <c r="H5" i="11"/>
  <c r="G5" i="11"/>
  <c r="F5" i="11"/>
  <c r="E5" i="11"/>
  <c r="AT37" i="11" l="1"/>
  <c r="C5" i="11"/>
  <c r="B6" i="11"/>
  <c r="B7" i="11"/>
  <c r="B14" i="11"/>
  <c r="B13" i="11"/>
  <c r="B10" i="11"/>
  <c r="AT38" i="11"/>
  <c r="B8" i="11"/>
  <c r="C11" i="11"/>
  <c r="AT39" i="11"/>
  <c r="BB37" i="11"/>
  <c r="B17" i="11"/>
  <c r="B15" i="11"/>
  <c r="B16" i="11"/>
  <c r="B18" i="11"/>
  <c r="E11" i="11"/>
  <c r="E4" i="11" s="1"/>
  <c r="D11" i="11"/>
  <c r="B12" i="11"/>
  <c r="B9" i="11"/>
  <c r="AS30" i="11"/>
  <c r="D5" i="11"/>
  <c r="I4" i="11"/>
  <c r="L4" i="11"/>
  <c r="F4" i="11"/>
  <c r="N4" i="11"/>
  <c r="G4" i="11"/>
  <c r="J4" i="11"/>
  <c r="H4" i="11"/>
  <c r="M4" i="11"/>
  <c r="K4" i="11"/>
  <c r="C4" i="11" l="1"/>
  <c r="B5" i="11"/>
  <c r="B11" i="11"/>
  <c r="D4" i="11"/>
  <c r="B4" i="11" l="1"/>
</calcChain>
</file>

<file path=xl/sharedStrings.xml><?xml version="1.0" encoding="utf-8"?>
<sst xmlns="http://schemas.openxmlformats.org/spreadsheetml/2006/main" count="90" uniqueCount="70">
  <si>
    <t>Total</t>
  </si>
  <si>
    <t>ޖުމްލަ</t>
  </si>
  <si>
    <t>Europe</t>
  </si>
  <si>
    <t>ޔޫރަޕް</t>
  </si>
  <si>
    <t>Asia</t>
  </si>
  <si>
    <t>އޭޝިއާ</t>
  </si>
  <si>
    <t>Africa</t>
  </si>
  <si>
    <t>އެފްރިކާ</t>
  </si>
  <si>
    <t>Oceania</t>
  </si>
  <si>
    <t>Middle East</t>
  </si>
  <si>
    <t>ޔޫ.އެން ޕާސްޕޯޓް ހޯލްޑަރ</t>
  </si>
  <si>
    <t>Source: Ministry of Tourism</t>
  </si>
  <si>
    <t>May</t>
  </si>
  <si>
    <t>cmwzirUT cfoa  IrcTcsinim :ctWrwf ivcaed utWmUluAwm</t>
  </si>
  <si>
    <t>Jan</t>
  </si>
  <si>
    <t>Feb</t>
  </si>
  <si>
    <t>Mar</t>
  </si>
  <si>
    <t>Apr</t>
  </si>
  <si>
    <t>Jun</t>
  </si>
  <si>
    <t>Jul</t>
  </si>
  <si>
    <t>Aug</t>
  </si>
  <si>
    <t>Sep</t>
  </si>
  <si>
    <t>Oct</t>
  </si>
  <si>
    <t>Nov</t>
  </si>
  <si>
    <t>Dec</t>
  </si>
  <si>
    <r>
      <rPr>
        <b/>
        <sz val="9"/>
        <rFont val="Faruma"/>
      </rPr>
      <t>ޖުމްލަ</t>
    </r>
    <r>
      <rPr>
        <b/>
        <sz val="9"/>
        <rFont val="Calibri"/>
        <family val="2"/>
      </rPr>
      <t xml:space="preserve">
Total</t>
    </r>
  </si>
  <si>
    <r>
      <rPr>
        <b/>
        <sz val="9"/>
        <rFont val="Faruma"/>
      </rPr>
      <t>ޖެނުއަރީ</t>
    </r>
    <r>
      <rPr>
        <b/>
        <sz val="9"/>
        <rFont val="Calibri"/>
        <family val="2"/>
      </rPr>
      <t xml:space="preserve">
Jan</t>
    </r>
  </si>
  <si>
    <r>
      <rPr>
        <b/>
        <sz val="9"/>
        <rFont val="Faruma"/>
      </rPr>
      <t>ފެބްރުއަރީ</t>
    </r>
    <r>
      <rPr>
        <b/>
        <sz val="9"/>
        <rFont val="Calibri"/>
        <family val="2"/>
      </rPr>
      <t xml:space="preserve">
Feb</t>
    </r>
  </si>
  <si>
    <r>
      <rPr>
        <b/>
        <sz val="9"/>
        <rFont val="Faruma"/>
      </rPr>
      <t>މާރޗް</t>
    </r>
    <r>
      <rPr>
        <b/>
        <sz val="9"/>
        <rFont val="Calibri"/>
        <family val="2"/>
      </rPr>
      <t xml:space="preserve">
Mar</t>
    </r>
  </si>
  <si>
    <r>
      <rPr>
        <b/>
        <sz val="9"/>
        <rFont val="Faruma"/>
      </rPr>
      <t>އޭޕްރިލް</t>
    </r>
    <r>
      <rPr>
        <b/>
        <sz val="9"/>
        <rFont val="Calibri"/>
        <family val="2"/>
      </rPr>
      <t xml:space="preserve">
Apr</t>
    </r>
  </si>
  <si>
    <r>
      <rPr>
        <b/>
        <sz val="9"/>
        <rFont val="Faruma"/>
      </rPr>
      <t>މެއި</t>
    </r>
    <r>
      <rPr>
        <b/>
        <sz val="9"/>
        <rFont val="Calibri"/>
        <family val="2"/>
      </rPr>
      <t xml:space="preserve">
May</t>
    </r>
  </si>
  <si>
    <r>
      <rPr>
        <b/>
        <sz val="9"/>
        <rFont val="Faruma"/>
      </rPr>
      <t>ޖޫން</t>
    </r>
    <r>
      <rPr>
        <b/>
        <sz val="9"/>
        <rFont val="Calibri"/>
        <family val="2"/>
      </rPr>
      <t xml:space="preserve">
Jun</t>
    </r>
  </si>
  <si>
    <r>
      <rPr>
        <b/>
        <sz val="9"/>
        <rFont val="Faruma"/>
      </rPr>
      <t>ޖުލައި</t>
    </r>
    <r>
      <rPr>
        <b/>
        <sz val="9"/>
        <rFont val="Calibri"/>
        <family val="2"/>
      </rPr>
      <t xml:space="preserve">
Jul</t>
    </r>
  </si>
  <si>
    <r>
      <rPr>
        <b/>
        <sz val="9"/>
        <rFont val="Faruma"/>
      </rPr>
      <t>އޮގަސްޓު</t>
    </r>
    <r>
      <rPr>
        <b/>
        <sz val="9"/>
        <rFont val="Calibri"/>
        <family val="2"/>
      </rPr>
      <t xml:space="preserve">
Aug</t>
    </r>
  </si>
  <si>
    <r>
      <rPr>
        <b/>
        <sz val="9"/>
        <rFont val="Faruma"/>
      </rPr>
      <t>ސެޕްޓެމްބަރ</t>
    </r>
    <r>
      <rPr>
        <b/>
        <sz val="9"/>
        <rFont val="Calibri"/>
        <family val="2"/>
      </rPr>
      <t xml:space="preserve">
Sep</t>
    </r>
  </si>
  <si>
    <r>
      <rPr>
        <b/>
        <sz val="9"/>
        <rFont val="Faruma"/>
      </rPr>
      <t>އޮކްޓޯބަރ</t>
    </r>
    <r>
      <rPr>
        <b/>
        <sz val="9"/>
        <rFont val="Calibri"/>
        <family val="2"/>
      </rPr>
      <t xml:space="preserve">
Oct</t>
    </r>
  </si>
  <si>
    <r>
      <rPr>
        <b/>
        <sz val="9"/>
        <rFont val="Faruma"/>
      </rPr>
      <t>ނޮވެމްބަރ</t>
    </r>
    <r>
      <rPr>
        <b/>
        <sz val="9"/>
        <rFont val="Calibri"/>
        <family val="2"/>
      </rPr>
      <t xml:space="preserve">
Nov</t>
    </r>
  </si>
  <si>
    <r>
      <rPr>
        <b/>
        <sz val="9"/>
        <rFont val="Faruma"/>
      </rPr>
      <t>ޑިސެމްބަރ</t>
    </r>
    <r>
      <rPr>
        <b/>
        <sz val="9"/>
        <rFont val="Calibri"/>
        <family val="2"/>
      </rPr>
      <t xml:space="preserve">
Dec</t>
    </r>
  </si>
  <si>
    <t>Country of Nationality</t>
  </si>
  <si>
    <t>ޤައުމިއްޔަތު/ 
މަސް</t>
  </si>
  <si>
    <t>Central/Eastern Europe</t>
  </si>
  <si>
    <t xml:space="preserve">   މެދު/އިރުމަތި ޔޫރަޕް</t>
  </si>
  <si>
    <t>Northern Europe</t>
  </si>
  <si>
    <t xml:space="preserve">   އުތުރު ޔޫރަޕް</t>
  </si>
  <si>
    <t>Southern Europe</t>
  </si>
  <si>
    <t xml:space="preserve">   ދެކުނު ޔޫރަޕް</t>
  </si>
  <si>
    <t>Western Europe</t>
  </si>
  <si>
    <t xml:space="preserve">   ހުޅަނގު ޔޫރަޕް</t>
  </si>
  <si>
    <t>East/Mediterranean Europe</t>
  </si>
  <si>
    <t xml:space="preserve">   އިރުމަތި/މެޑިޓަރޭނިއަން ޔޫރަޕް</t>
  </si>
  <si>
    <t>North East Asia</t>
  </si>
  <si>
    <t xml:space="preserve">   ހުޅަނގު އުތުރު އޭޝިއާ</t>
  </si>
  <si>
    <t>South East Asia</t>
  </si>
  <si>
    <t xml:space="preserve">   ހުޅަނގު ދެކުނު އޭޝިއާ</t>
  </si>
  <si>
    <t>South Asia</t>
  </si>
  <si>
    <t xml:space="preserve">   ދެކުނު އޭޝިއާ</t>
  </si>
  <si>
    <t>އެމެރިކާ</t>
  </si>
  <si>
    <t>America</t>
  </si>
  <si>
    <t>އޯޝަނިޔާ</t>
  </si>
  <si>
    <t>މެދު އިރުމަތި</t>
  </si>
  <si>
    <t xml:space="preserve">UN Passport Holders </t>
  </si>
  <si>
    <t>Others/Not Stated</t>
  </si>
  <si>
    <t>ބަޔާން ނުކުރާ</t>
  </si>
  <si>
    <t xml:space="preserve"> </t>
  </si>
  <si>
    <t xml:space="preserve">             Maldives Immigration </t>
  </si>
  <si>
    <t xml:space="preserve">       މޯލްޑީވްސް އިމިގްރޭޝަން</t>
  </si>
  <si>
    <t>Note: Maldives border was closed for international visitirs on 27th March 2020 due to global COVID-19 outbreak and was re-opened on 15th July 2020</t>
  </si>
  <si>
    <t>Due to COVIC-19 pandamic, some tourists were unable to travel back to their home country.</t>
  </si>
  <si>
    <t>Table 10.11 :   MONTHLY DISTRIBUTION OF TOURIST ARRIVALS, 2023</t>
  </si>
  <si>
    <t>2023 udwdwA egcnirevurutwf iawaejcaWr cnutogegukwtumuawq uhwmcswmikea : 10.11 ulwvWt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</si>
</sst>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43" formatCode="_(* #,##0.00_);_(* \(#,##0.00\);_(* &quot;-&quot;??_);_(@_)"/>
    <numFmt numFmtId="166" formatCode="_(* #,##0_);_(* \(#,##0\);_(* &quot;-&quot;??_);_(@_)"/>
    <numFmt numFmtId="167" formatCode="#,##0.0"/>
    <numFmt numFmtId="169" formatCode="General_)"/>
    <numFmt numFmtId="171" formatCode="0.00_)"/>
  </numFmts>
  <fonts count="30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0"/>
      <name val="Arial"/>
      <family val="2"/>
    </font>
    <font>
      <b/>
      <sz val="9"/>
      <name val="Calibri"/>
      <family val="2"/>
      <scheme val="minor"/>
    </font>
    <font>
      <b/>
      <sz val="10"/>
      <name val="Faruma"/>
    </font>
    <font>
      <b/>
      <sz val="10"/>
      <name val="Calibri"/>
      <family val="2"/>
      <scheme val="minor"/>
    </font>
    <font>
      <sz val="10.5"/>
      <name val="Faruma"/>
    </font>
    <font>
      <sz val="10"/>
      <name val="Helv"/>
    </font>
    <font>
      <i/>
      <sz val="9"/>
      <color theme="1"/>
      <name val="Calibri"/>
      <family val="2"/>
      <scheme val="minor"/>
    </font>
    <font>
      <sz val="9"/>
      <name val="Arial"/>
      <family val="2"/>
    </font>
    <font>
      <i/>
      <sz val="9"/>
      <name val="Calibri"/>
      <family val="2"/>
      <scheme val="minor"/>
    </font>
    <font>
      <sz val="10"/>
      <name val="Calibri"/>
      <family val="2"/>
      <scheme val="minor"/>
    </font>
    <font>
      <i/>
      <sz val="9"/>
      <name val="Arial"/>
      <family val="2"/>
    </font>
    <font>
      <b/>
      <sz val="9"/>
      <name val="Faruma"/>
    </font>
    <font>
      <b/>
      <sz val="9"/>
      <name val="Calibri"/>
      <family val="2"/>
    </font>
    <font>
      <sz val="10"/>
      <name val="Faruma"/>
    </font>
    <font>
      <sz val="10"/>
      <name val="Courier"/>
      <family val="3"/>
    </font>
    <font>
      <b/>
      <sz val="9"/>
      <name val="Arial"/>
      <family val="2"/>
    </font>
    <font>
      <sz val="9"/>
      <name val="Faruma"/>
    </font>
    <font>
      <sz val="10"/>
      <name val="Arial"/>
      <family val="2"/>
    </font>
    <font>
      <b/>
      <i/>
      <sz val="16"/>
      <name val="Helv"/>
    </font>
    <font>
      <b/>
      <sz val="10"/>
      <name val="TimesNewRomanPS"/>
    </font>
    <font>
      <sz val="9"/>
      <name val="A_Faseyha"/>
    </font>
    <font>
      <b/>
      <sz val="11"/>
      <name val="A_Faseyha"/>
    </font>
    <font>
      <i/>
      <sz val="9"/>
      <name val="A_Faseyha"/>
    </font>
    <font>
      <sz val="11"/>
      <color indexed="8"/>
      <name val="Calibri"/>
      <family val="2"/>
    </font>
    <font>
      <sz val="10"/>
      <color rgb="FF000000"/>
      <name val="Arial"/>
      <family val="2"/>
    </font>
    <font>
      <b/>
      <sz val="10"/>
      <color rgb="FF000000"/>
      <name val="Times"/>
      <family val="1"/>
    </font>
    <font>
      <sz val="11"/>
      <color rgb="FF000000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thin">
        <color indexed="64"/>
      </top>
      <bottom style="thin">
        <color indexed="64"/>
      </bottom>
      <diagonal/>
    </border>
  </borders>
  <cellStyleXfs count="79">
    <xf numFmtId="0" fontId="0" fillId="0" borderId="0"/>
    <xf numFmtId="43" fontId="1" fillId="0" borderId="0" applyFont="0" applyFill="0" applyBorder="0" applyAlignment="0" applyProtection="0"/>
    <xf numFmtId="0" fontId="8" fillId="0" borderId="0"/>
    <xf numFmtId="0" fontId="3" fillId="0" borderId="0"/>
    <xf numFmtId="9" fontId="3" fillId="0" borderId="0" applyFont="0" applyFill="0" applyBorder="0" applyAlignment="0" applyProtection="0"/>
    <xf numFmtId="0" fontId="17" fillId="0" borderId="0"/>
    <xf numFmtId="0" fontId="17" fillId="0" borderId="0"/>
    <xf numFmtId="0" fontId="3" fillId="0" borderId="0"/>
    <xf numFmtId="0" fontId="20" fillId="0" borderId="0"/>
    <xf numFmtId="0" fontId="3" fillId="0" borderId="0"/>
    <xf numFmtId="43" fontId="3" fillId="0" borderId="0" applyFont="0" applyFill="0" applyBorder="0" applyAlignment="0" applyProtection="0"/>
    <xf numFmtId="171" fontId="21" fillId="0" borderId="0"/>
    <xf numFmtId="1" fontId="22" fillId="0" borderId="3" applyNumberFormat="0"/>
    <xf numFmtId="0" fontId="3" fillId="0" borderId="0"/>
    <xf numFmtId="0" fontId="1" fillId="0" borderId="0"/>
    <xf numFmtId="0" fontId="3" fillId="0" borderId="0"/>
    <xf numFmtId="9" fontId="3" fillId="0" borderId="0" applyFont="0" applyFill="0" applyBorder="0" applyAlignment="0" applyProtection="0"/>
    <xf numFmtId="0" fontId="20" fillId="0" borderId="0"/>
    <xf numFmtId="0" fontId="3" fillId="0" borderId="0"/>
    <xf numFmtId="0" fontId="1" fillId="0" borderId="0"/>
    <xf numFmtId="0" fontId="3" fillId="0" borderId="0"/>
    <xf numFmtId="0" fontId="3" fillId="0" borderId="0"/>
    <xf numFmtId="0" fontId="8" fillId="0" borderId="0"/>
    <xf numFmtId="40" fontId="8" fillId="0" borderId="0" applyFont="0" applyFill="0" applyBorder="0" applyAlignment="0" applyProtection="0"/>
    <xf numFmtId="0" fontId="8" fillId="0" borderId="0"/>
    <xf numFmtId="0" fontId="3" fillId="0" borderId="0"/>
    <xf numFmtId="1" fontId="22" fillId="0" borderId="3" applyNumberFormat="0"/>
    <xf numFmtId="0" fontId="1" fillId="0" borderId="0"/>
    <xf numFmtId="0" fontId="8" fillId="0" borderId="0"/>
    <xf numFmtId="0" fontId="26" fillId="0" borderId="0" applyFill="0" applyProtection="0"/>
    <xf numFmtId="1" fontId="22" fillId="0" borderId="3" applyNumberFormat="0"/>
    <xf numFmtId="43" fontId="1" fillId="0" borderId="0" applyFont="0" applyFill="0" applyBorder="0" applyAlignment="0" applyProtection="0"/>
    <xf numFmtId="0" fontId="1" fillId="0" borderId="0"/>
    <xf numFmtId="0" fontId="27" fillId="0" borderId="0"/>
    <xf numFmtId="0" fontId="28" fillId="0" borderId="0"/>
    <xf numFmtId="0" fontId="27" fillId="0" borderId="0"/>
    <xf numFmtId="0" fontId="1" fillId="0" borderId="0"/>
    <xf numFmtId="0" fontId="8" fillId="0" borderId="0"/>
    <xf numFmtId="0" fontId="26" fillId="0" borderId="0" applyFill="0" applyProtection="0"/>
    <xf numFmtId="1" fontId="22" fillId="0" borderId="3" applyNumberFormat="0"/>
    <xf numFmtId="0" fontId="1" fillId="0" borderId="0"/>
    <xf numFmtId="0" fontId="3" fillId="0" borderId="0"/>
    <xf numFmtId="0" fontId="27" fillId="0" borderId="0"/>
    <xf numFmtId="0" fontId="28" fillId="0" borderId="0"/>
    <xf numFmtId="0" fontId="3" fillId="0" borderId="0"/>
    <xf numFmtId="0" fontId="27" fillId="0" borderId="0"/>
    <xf numFmtId="0" fontId="29" fillId="0" borderId="0"/>
    <xf numFmtId="0" fontId="27" fillId="0" borderId="0"/>
    <xf numFmtId="0" fontId="27" fillId="0" borderId="0"/>
    <xf numFmtId="0" fontId="1" fillId="0" borderId="0"/>
    <xf numFmtId="43" fontId="1" fillId="0" borderId="0" applyFont="0" applyFill="0" applyBorder="0" applyAlignment="0" applyProtection="0"/>
    <xf numFmtId="0" fontId="1" fillId="0" borderId="0"/>
    <xf numFmtId="0" fontId="1" fillId="0" borderId="0"/>
    <xf numFmtId="40" fontId="8" fillId="0" borderId="0" applyFont="0" applyFill="0" applyBorder="0" applyAlignment="0" applyProtection="0"/>
    <xf numFmtId="0" fontId="1" fillId="0" borderId="0"/>
    <xf numFmtId="0" fontId="29" fillId="0" borderId="0" applyBorder="0"/>
    <xf numFmtId="0" fontId="1" fillId="0" borderId="0"/>
    <xf numFmtId="40" fontId="8" fillId="0" borderId="0" applyFont="0" applyFill="0" applyBorder="0" applyAlignment="0" applyProtection="0"/>
    <xf numFmtId="0" fontId="1" fillId="0" borderId="0"/>
    <xf numFmtId="0" fontId="1" fillId="0" borderId="0"/>
    <xf numFmtId="0" fontId="1" fillId="0" borderId="0"/>
    <xf numFmtId="0" fontId="29" fillId="0" borderId="0" applyBorder="0"/>
    <xf numFmtId="0" fontId="1" fillId="0" borderId="0"/>
    <xf numFmtId="0" fontId="1" fillId="0" borderId="0"/>
    <xf numFmtId="1" fontId="22" fillId="0" borderId="3" applyNumberFormat="0"/>
    <xf numFmtId="1" fontId="22" fillId="0" borderId="3" applyNumberFormat="0"/>
    <xf numFmtId="1" fontId="22" fillId="0" borderId="3" applyNumberFormat="0"/>
    <xf numFmtId="1" fontId="22" fillId="0" borderId="3" applyNumberFormat="0"/>
    <xf numFmtId="1" fontId="22" fillId="0" borderId="3" applyNumberFormat="0"/>
    <xf numFmtId="1" fontId="22" fillId="0" borderId="3" applyNumberFormat="0"/>
    <xf numFmtId="1" fontId="22" fillId="0" borderId="3" applyNumberFormat="0"/>
    <xf numFmtId="0" fontId="1" fillId="0" borderId="0"/>
    <xf numFmtId="0" fontId="1" fillId="0" borderId="0"/>
    <xf numFmtId="0" fontId="29" fillId="0" borderId="0" applyBorder="0"/>
    <xf numFmtId="0" fontId="29" fillId="0" borderId="0"/>
    <xf numFmtId="0" fontId="1" fillId="0" borderId="0"/>
    <xf numFmtId="0" fontId="8" fillId="0" borderId="0"/>
    <xf numFmtId="0" fontId="8" fillId="0" borderId="0"/>
    <xf numFmtId="1" fontId="22" fillId="0" borderId="3" applyNumberFormat="0"/>
  </cellStyleXfs>
  <cellXfs count="34">
    <xf numFmtId="0" fontId="0" fillId="0" borderId="0" xfId="0"/>
    <xf numFmtId="166" fontId="6" fillId="2" borderId="0" xfId="1" applyNumberFormat="1" applyFont="1" applyFill="1" applyBorder="1" applyAlignment="1" applyProtection="1">
      <alignment horizontal="right" vertical="center"/>
    </xf>
    <xf numFmtId="166" fontId="12" fillId="2" borderId="0" xfId="1" applyNumberFormat="1" applyFont="1" applyFill="1" applyBorder="1" applyAlignment="1" applyProtection="1">
      <alignment horizontal="right" vertical="center"/>
    </xf>
    <xf numFmtId="0" fontId="6" fillId="2" borderId="1" xfId="3" applyFont="1" applyFill="1" applyBorder="1" applyAlignment="1">
      <alignment vertical="center"/>
    </xf>
    <xf numFmtId="166" fontId="6" fillId="2" borderId="1" xfId="1" applyNumberFormat="1" applyFont="1" applyFill="1" applyBorder="1" applyAlignment="1" applyProtection="1">
      <alignment horizontal="right" vertical="center"/>
    </xf>
    <xf numFmtId="0" fontId="14" fillId="2" borderId="1" xfId="3" applyFont="1" applyFill="1" applyBorder="1"/>
    <xf numFmtId="169" fontId="24" fillId="2" borderId="0" xfId="5" applyNumberFormat="1" applyFont="1" applyFill="1" applyBorder="1" applyAlignment="1">
      <alignment horizontal="center" vertical="center"/>
    </xf>
    <xf numFmtId="169" fontId="3" fillId="2" borderId="0" xfId="6" applyNumberFormat="1" applyFont="1" applyFill="1" applyBorder="1" applyAlignment="1">
      <alignment vertical="center"/>
    </xf>
    <xf numFmtId="0" fontId="2" fillId="2" borderId="0" xfId="3" applyFont="1" applyFill="1" applyBorder="1" applyAlignment="1">
      <alignment horizontal="center" vertical="center"/>
    </xf>
    <xf numFmtId="0" fontId="3" fillId="2" borderId="0" xfId="3" applyFill="1" applyBorder="1"/>
    <xf numFmtId="0" fontId="10" fillId="2" borderId="0" xfId="3" applyFont="1" applyFill="1" applyBorder="1" applyAlignment="1">
      <alignment vertical="center"/>
    </xf>
    <xf numFmtId="0" fontId="6" fillId="2" borderId="0" xfId="3" applyFont="1" applyFill="1" applyBorder="1" applyAlignment="1">
      <alignment vertical="center"/>
    </xf>
    <xf numFmtId="167" fontId="5" fillId="2" borderId="0" xfId="3" applyNumberFormat="1" applyFont="1" applyFill="1" applyBorder="1" applyAlignment="1">
      <alignment horizontal="right"/>
    </xf>
    <xf numFmtId="0" fontId="18" fillId="2" borderId="0" xfId="3" applyFont="1" applyFill="1" applyBorder="1"/>
    <xf numFmtId="166" fontId="18" fillId="2" borderId="0" xfId="3" applyNumberFormat="1" applyFont="1" applyFill="1" applyBorder="1" applyAlignment="1">
      <alignment vertical="center"/>
    </xf>
    <xf numFmtId="17" fontId="12" fillId="2" borderId="0" xfId="7" applyNumberFormat="1" applyFont="1" applyFill="1" applyBorder="1" applyAlignment="1">
      <alignment horizontal="left" vertical="center" indent="1"/>
    </xf>
    <xf numFmtId="167" fontId="16" fillId="2" borderId="0" xfId="3" applyNumberFormat="1" applyFont="1" applyFill="1" applyBorder="1" applyAlignment="1">
      <alignment horizontal="right"/>
    </xf>
    <xf numFmtId="0" fontId="10" fillId="2" borderId="0" xfId="3" applyFont="1" applyFill="1" applyBorder="1"/>
    <xf numFmtId="17" fontId="12" fillId="2" borderId="0" xfId="7" applyNumberFormat="1" applyFont="1" applyFill="1" applyBorder="1" applyAlignment="1">
      <alignment horizontal="left" vertical="center" wrapText="1" indent="1"/>
    </xf>
    <xf numFmtId="0" fontId="18" fillId="2" borderId="0" xfId="3" applyFont="1" applyFill="1" applyBorder="1" applyAlignment="1">
      <alignment vertical="center"/>
    </xf>
    <xf numFmtId="0" fontId="7" fillId="2" borderId="0" xfId="2" applyFont="1" applyFill="1" applyBorder="1" applyAlignment="1">
      <alignment vertical="center"/>
    </xf>
    <xf numFmtId="0" fontId="9" fillId="2" borderId="0" xfId="0" applyFont="1" applyFill="1" applyBorder="1" applyAlignment="1">
      <alignment horizontal="left" vertical="center"/>
    </xf>
    <xf numFmtId="0" fontId="13" fillId="2" borderId="0" xfId="3" applyFont="1" applyFill="1" applyBorder="1" applyAlignment="1">
      <alignment horizontal="left" vertical="center"/>
    </xf>
    <xf numFmtId="166" fontId="13" fillId="2" borderId="0" xfId="3" applyNumberFormat="1" applyFont="1" applyFill="1" applyBorder="1" applyAlignment="1">
      <alignment horizontal="left" vertical="center"/>
    </xf>
    <xf numFmtId="0" fontId="25" fillId="2" borderId="0" xfId="3" applyFont="1" applyFill="1" applyBorder="1" applyAlignment="1">
      <alignment horizontal="left" vertical="center"/>
    </xf>
    <xf numFmtId="0" fontId="23" fillId="2" borderId="0" xfId="0" applyFont="1" applyFill="1" applyBorder="1" applyAlignment="1">
      <alignment horizontal="right" vertical="center"/>
    </xf>
    <xf numFmtId="0" fontId="11" fillId="2" borderId="0" xfId="3" applyFont="1" applyFill="1" applyBorder="1" applyAlignment="1">
      <alignment horizontal="left" vertical="center"/>
    </xf>
    <xf numFmtId="0" fontId="19" fillId="2" borderId="0" xfId="3" applyFont="1" applyFill="1" applyBorder="1" applyAlignment="1">
      <alignment horizontal="right" vertical="center"/>
    </xf>
    <xf numFmtId="0" fontId="11" fillId="2" borderId="0" xfId="0" applyFont="1" applyFill="1" applyBorder="1" applyAlignment="1">
      <alignment horizontal="left" vertical="center"/>
    </xf>
    <xf numFmtId="3" fontId="3" fillId="2" borderId="0" xfId="3" applyNumberFormat="1" applyFill="1" applyBorder="1"/>
    <xf numFmtId="0" fontId="11" fillId="2" borderId="0" xfId="0" applyFont="1" applyFill="1" applyBorder="1" applyAlignment="1">
      <alignment horizontal="left" vertical="center" indent="3"/>
    </xf>
    <xf numFmtId="0" fontId="4" fillId="2" borderId="2" xfId="3" applyFont="1" applyFill="1" applyBorder="1" applyAlignment="1">
      <alignment horizontal="left" vertical="center"/>
    </xf>
    <xf numFmtId="0" fontId="4" fillId="2" borderId="2" xfId="3" applyFont="1" applyFill="1" applyBorder="1" applyAlignment="1">
      <alignment horizontal="right" vertical="center" wrapText="1"/>
    </xf>
    <xf numFmtId="0" fontId="14" fillId="2" borderId="2" xfId="3" applyFont="1" applyFill="1" applyBorder="1" applyAlignment="1">
      <alignment horizontal="right" vertical="center" wrapText="1" indent="1"/>
    </xf>
  </cellXfs>
  <cellStyles count="79">
    <cellStyle name="1" xfId="9" xr:uid="{00000000-0005-0000-0000-000000000000}"/>
    <cellStyle name="Comma" xfId="1" builtinId="3"/>
    <cellStyle name="Comma 2" xfId="23" xr:uid="{00000000-0005-0000-0000-000002000000}"/>
    <cellStyle name="Comma 2 2" xfId="50" xr:uid="{71832AE8-63E9-47AC-B43D-24C9B30FD491}"/>
    <cellStyle name="Comma 2 2 2 5" xfId="31" xr:uid="{923A80DF-8391-490C-A9FC-9B04BA3FF02C}"/>
    <cellStyle name="Comma 2 3" xfId="57" xr:uid="{18E20042-2979-46AD-9D37-4A459DA64BAE}"/>
    <cellStyle name="Comma 3" xfId="10" xr:uid="{00000000-0005-0000-0000-000003000000}"/>
    <cellStyle name="Comma 3 2" xfId="53" xr:uid="{C94EE668-205D-4DE2-A3E1-635995599CA4}"/>
    <cellStyle name="Normal" xfId="0" builtinId="0"/>
    <cellStyle name="Normal - Style1" xfId="11" xr:uid="{00000000-0005-0000-0000-000005000000}"/>
    <cellStyle name="Normal 10" xfId="17" xr:uid="{00000000-0005-0000-0000-000006000000}"/>
    <cellStyle name="Normal 11" xfId="28" xr:uid="{95DB1E47-A717-4F50-B120-BDB4A6A98D35}"/>
    <cellStyle name="Normal 12" xfId="30" xr:uid="{5F37676F-9210-428B-A54A-88AF31197612}"/>
    <cellStyle name="Normal 13" xfId="39" xr:uid="{1E44DD08-E506-4B0E-A49D-239619E68ECB}"/>
    <cellStyle name="Normal 14" xfId="64" xr:uid="{CF47567C-18E3-48E3-B4B2-F9546E19550C}"/>
    <cellStyle name="Normal 15" xfId="65" xr:uid="{791BF7C1-0A53-4899-92D0-58D1295D1734}"/>
    <cellStyle name="Normal 16" xfId="66" xr:uid="{FB24067F-240D-455E-8348-EE3147456F5B}"/>
    <cellStyle name="Normal 17" xfId="67" xr:uid="{D4A5C67F-868D-43C6-89A5-249394EF5F61}"/>
    <cellStyle name="Normal 18" xfId="68" xr:uid="{C428DA61-20F8-4842-A18B-7FA043B482A4}"/>
    <cellStyle name="Normal 19" xfId="69" xr:uid="{EACCE844-16D2-420C-B840-ACEE6225450A}"/>
    <cellStyle name="Normal 2" xfId="3" xr:uid="{00000000-0005-0000-0000-000007000000}"/>
    <cellStyle name="Normal 2 2" xfId="12" xr:uid="{00000000-0005-0000-0000-000008000000}"/>
    <cellStyle name="Normal 2 2 2" xfId="24" xr:uid="{00000000-0005-0000-0000-000009000000}"/>
    <cellStyle name="Normal 2 2 2 2" xfId="48" xr:uid="{8F8F9C60-80DF-42BF-B765-6C68B3B83858}"/>
    <cellStyle name="Normal 2 2 3" xfId="25" xr:uid="{2E2FEFD2-ABBD-420D-8461-C8F503FDA24A}"/>
    <cellStyle name="Normal 2 2 3 2" xfId="46" xr:uid="{847F1A16-9FCA-412B-AE91-D29E3FC8B338}"/>
    <cellStyle name="Normal 2 2 4" xfId="42" xr:uid="{19B03459-4F46-4840-B83F-02097E770DD0}"/>
    <cellStyle name="Normal 2 3" xfId="27" xr:uid="{48422FEC-E0BC-428C-9750-2D76D2E13FBF}"/>
    <cellStyle name="Normal 2 3 2" xfId="38" xr:uid="{53720891-5BB7-4072-A4AA-9D579EA571CD}"/>
    <cellStyle name="Normal 2 3 3" xfId="41" xr:uid="{7DCAFB35-81DA-42EB-A924-F7ED0EEF7A1F}"/>
    <cellStyle name="Normal 2 4" xfId="29" xr:uid="{84E1C268-3A16-4FB7-A335-F22068D33369}"/>
    <cellStyle name="Normal 2 4 2" xfId="49" xr:uid="{57E5914E-388A-4C4B-895D-9DE84233932D}"/>
    <cellStyle name="Normal 2 5" xfId="33" xr:uid="{D29D2916-D641-4853-A275-3F08E70F8C7A}"/>
    <cellStyle name="Normal 2 5 2" xfId="71" xr:uid="{C22BCFAD-F32E-457E-938E-ABEE683A2342}"/>
    <cellStyle name="Normal 2 6" xfId="72" xr:uid="{FEC1E65A-B873-4B1D-8CA3-90C7267B1DBB}"/>
    <cellStyle name="Normal 2 7" xfId="75" xr:uid="{1F813466-FC69-4C83-8E34-944476152EEC}"/>
    <cellStyle name="Normal 20" xfId="70" xr:uid="{6BBCB359-6445-479F-B974-2714BC50CD98}"/>
    <cellStyle name="Normal 21" xfId="76" xr:uid="{ED747AB2-D527-4275-89BF-F4D42E0C64B3}"/>
    <cellStyle name="Normal 22" xfId="77" xr:uid="{8E332121-172D-4CE3-830C-64EBB89E6CB3}"/>
    <cellStyle name="Normal 23" xfId="78" xr:uid="{DB6A6BF5-DDB4-454B-9671-9B4525D9FEF0}"/>
    <cellStyle name="Normal 3" xfId="13" xr:uid="{00000000-0005-0000-0000-00000A000000}"/>
    <cellStyle name="Normal 3 2" xfId="26" xr:uid="{44D070A0-948A-45DA-8AFF-8A98BB90EB1D}"/>
    <cellStyle name="Normal 3 2 2" xfId="35" xr:uid="{4957CE97-0C4F-446D-8F13-BA568858B15F}"/>
    <cellStyle name="Normal 3 2 2 2" xfId="60" xr:uid="{2E853BA5-A6AB-4EF9-973C-19000D44968E}"/>
    <cellStyle name="Normal 3 3" xfId="44" xr:uid="{1D4DED44-E767-4414-A710-53A5E77B0231}"/>
    <cellStyle name="Normal 3 3 2" xfId="63" xr:uid="{105881E3-0498-4F49-93D5-84249EBD8B7E}"/>
    <cellStyle name="Normal 3 4" xfId="54" xr:uid="{775CBDBA-2355-47F1-8EDC-996CD2E9D14C}"/>
    <cellStyle name="Normal 3 5" xfId="58" xr:uid="{B67EF198-0A73-4423-9F40-46956DF79B03}"/>
    <cellStyle name="Normal 3 6" xfId="73" xr:uid="{147BF9F4-9920-475F-AFAF-1D72BEB5A6F8}"/>
    <cellStyle name="Normal 3 7" xfId="74" xr:uid="{C369A487-A923-4CFF-B26E-A8A707B5AE2D}"/>
    <cellStyle name="Normal 4" xfId="18" xr:uid="{00000000-0005-0000-0000-00000B000000}"/>
    <cellStyle name="Normal 4 2" xfId="14" xr:uid="{00000000-0005-0000-0000-00000C000000}"/>
    <cellStyle name="Normal 4 2 2" xfId="19" xr:uid="{00000000-0005-0000-0000-00000D000000}"/>
    <cellStyle name="Normal 4 2 3" xfId="43" xr:uid="{3CC09F86-6AF3-42B7-B59F-47E11B119A56}"/>
    <cellStyle name="Normal 4 3" xfId="34" xr:uid="{6720CF7E-3D28-49D4-A4F3-23A341275CC3}"/>
    <cellStyle name="Normal 4 3 2" xfId="51" xr:uid="{FF8D28D6-8DB2-418B-A317-8CA9F33A63C6}"/>
    <cellStyle name="Normal 4 4" xfId="56" xr:uid="{506DB73D-6B6B-40EF-85B4-52381B4717DA}"/>
    <cellStyle name="Normal 5" xfId="15" xr:uid="{00000000-0005-0000-0000-00000E000000}"/>
    <cellStyle name="Normal 5 2" xfId="7" xr:uid="{00000000-0005-0000-0000-00000F000000}"/>
    <cellStyle name="Normal 5 2 2" xfId="59" xr:uid="{349C0B77-1FB1-4403-84A0-A4B2133A156A}"/>
    <cellStyle name="Normal 5 3" xfId="32" xr:uid="{F16A05F5-F806-4902-9DAF-1592A0EB3B8F}"/>
    <cellStyle name="Normal 5 4" xfId="45" xr:uid="{A6EA1B92-714A-484D-87C5-6D1A3BC3F4D7}"/>
    <cellStyle name="Normal 6" xfId="20" xr:uid="{00000000-0005-0000-0000-000010000000}"/>
    <cellStyle name="Normal 6 2" xfId="36" xr:uid="{28DCBC0B-46D7-4D92-ADC4-A6E5B7FB0383}"/>
    <cellStyle name="Normal 6 2 2" xfId="61" xr:uid="{35024BBE-69E3-4A93-86D9-3A08FFADFD0D}"/>
    <cellStyle name="Normal 6 3" xfId="47" xr:uid="{A1A5671A-5779-4172-B339-E25C279C443B}"/>
    <cellStyle name="Normal 7" xfId="21" xr:uid="{00000000-0005-0000-0000-000011000000}"/>
    <cellStyle name="Normal 7 2" xfId="37" xr:uid="{F94E59D5-A861-4070-A967-F13E24BDD6F0}"/>
    <cellStyle name="Normal 7 2 2" xfId="52" xr:uid="{3C7963B8-B6CF-4FCF-93B3-DD71D3A617EC}"/>
    <cellStyle name="Normal 7 3" xfId="62" xr:uid="{31B347B4-04A7-4773-99FE-B93DBCB9EF51}"/>
    <cellStyle name="Normal 7 4" xfId="40" xr:uid="{82FD4FAA-650B-46FE-85A5-0119781775C0}"/>
    <cellStyle name="Normal 8" xfId="22" xr:uid="{00000000-0005-0000-0000-000012000000}"/>
    <cellStyle name="Normal 8 2" xfId="55" xr:uid="{2C19882A-370B-4CF1-8D87-E650A5A0EE91}"/>
    <cellStyle name="Normal 9" xfId="8" xr:uid="{00000000-0005-0000-0000-000013000000}"/>
    <cellStyle name="Normal_TABLE456" xfId="2" xr:uid="{00000000-0005-0000-0000-000017000000}"/>
    <cellStyle name="Normal_VIII-8 (Tourism) 2" xfId="5" xr:uid="{00000000-0005-0000-0000-000018000000}"/>
    <cellStyle name="Normal_VIII-8 (Tourism) 2 3" xfId="6" xr:uid="{00000000-0005-0000-0000-000019000000}"/>
    <cellStyle name="Percent 2" xfId="16" xr:uid="{00000000-0005-0000-0000-00001B000000}"/>
    <cellStyle name="Percent 2 2" xfId="4" xr:uid="{00000000-0005-0000-0000-00001C000000}"/>
  </cellStyles>
  <dxfs count="0"/>
  <tableStyles count="0" defaultTableStyle="TableStyleMedium2" defaultPivotStyle="PivotStyleLight16"/>
  <colors>
    <mruColors>
      <color rgb="FFBDFFFF"/>
      <color rgb="FFD1FFFF"/>
      <color rgb="FF4FFFFF"/>
      <color rgb="FF00DFDA"/>
      <color rgb="FF009999"/>
      <color rgb="FFC5FFFF"/>
      <color rgb="FF006F6C"/>
      <color rgb="FFEFFFFF"/>
      <color rgb="FFFF8585"/>
      <color rgb="FFF3F6FB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externalLink" Target="externalLinks/externalLink1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6"/>
    </mc:Choice>
    <mc:Fallback>
      <c:style val="6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Figure 10.17: Monthly tourist arrivals by European Market, 2023 </a:t>
            </a:r>
          </a:p>
        </c:rich>
      </c:tx>
      <c:layout>
        <c:manualLayout>
          <c:xMode val="edge"/>
          <c:yMode val="edge"/>
          <c:x val="0.25012952641233421"/>
          <c:y val="1.97665062570050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064618374825347"/>
          <c:y val="0.12103060151902054"/>
          <c:w val="0.87957552340085354"/>
          <c:h val="0.78856609237787967"/>
        </c:manualLayout>
      </c:layout>
      <c:lineChart>
        <c:grouping val="standard"/>
        <c:varyColors val="0"/>
        <c:ser>
          <c:idx val="0"/>
          <c:order val="0"/>
          <c:tx>
            <c:strRef>
              <c:f>'10.11'!$AQ$28</c:f>
              <c:strCache>
                <c:ptCount val="1"/>
                <c:pt idx="0">
                  <c:v>Central/Eastern Europe</c:v>
                </c:pt>
              </c:strCache>
            </c:strRef>
          </c:tx>
          <c:spPr>
            <a:ln w="34925" cap="rnd">
              <a:solidFill>
                <a:srgbClr val="006F6C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'10.11'!$AR$27:$BC$27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'10.11'!$AR$28:$BC$28</c:f>
              <c:numCache>
                <c:formatCode>_(* #,##0_);_(* \(#,##0\);_(* "-"??_);_(@_)</c:formatCode>
                <c:ptCount val="12"/>
                <c:pt idx="0">
                  <c:v>44319</c:v>
                </c:pt>
                <c:pt idx="1">
                  <c:v>41991</c:v>
                </c:pt>
                <c:pt idx="2">
                  <c:v>38136</c:v>
                </c:pt>
                <c:pt idx="3">
                  <c:v>28665</c:v>
                </c:pt>
                <c:pt idx="4">
                  <c:v>18314</c:v>
                </c:pt>
                <c:pt idx="5">
                  <c:v>21746</c:v>
                </c:pt>
                <c:pt idx="6">
                  <c:v>28079</c:v>
                </c:pt>
                <c:pt idx="7">
                  <c:v>26607</c:v>
                </c:pt>
                <c:pt idx="8">
                  <c:v>19756</c:v>
                </c:pt>
                <c:pt idx="9">
                  <c:v>29722</c:v>
                </c:pt>
                <c:pt idx="10">
                  <c:v>33808</c:v>
                </c:pt>
                <c:pt idx="11">
                  <c:v>38105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E0AF-489F-AC73-381DC72CD132}"/>
            </c:ext>
          </c:extLst>
        </c:ser>
        <c:ser>
          <c:idx val="1"/>
          <c:order val="1"/>
          <c:tx>
            <c:strRef>
              <c:f>'10.11'!$AQ$29</c:f>
              <c:strCache>
                <c:ptCount val="1"/>
                <c:pt idx="0">
                  <c:v>Northern Europe</c:v>
                </c:pt>
              </c:strCache>
            </c:strRef>
          </c:tx>
          <c:spPr>
            <a:ln w="34925" cap="rnd">
              <a:solidFill>
                <a:srgbClr val="4FFFFF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'10.11'!$AR$27:$BC$27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'10.11'!$AR$29:$BC$29</c:f>
              <c:numCache>
                <c:formatCode>_(* #,##0_);_(* \(#,##0\);_(* "-"??_);_(@_)</c:formatCode>
                <c:ptCount val="12"/>
                <c:pt idx="0">
                  <c:v>19343</c:v>
                </c:pt>
                <c:pt idx="1">
                  <c:v>23569</c:v>
                </c:pt>
                <c:pt idx="2">
                  <c:v>20651</c:v>
                </c:pt>
                <c:pt idx="3">
                  <c:v>18526</c:v>
                </c:pt>
                <c:pt idx="4">
                  <c:v>9308</c:v>
                </c:pt>
                <c:pt idx="5">
                  <c:v>8278</c:v>
                </c:pt>
                <c:pt idx="6">
                  <c:v>12546</c:v>
                </c:pt>
                <c:pt idx="7">
                  <c:v>11757</c:v>
                </c:pt>
                <c:pt idx="8">
                  <c:v>9282</c:v>
                </c:pt>
                <c:pt idx="9">
                  <c:v>17904</c:v>
                </c:pt>
                <c:pt idx="10">
                  <c:v>18619</c:v>
                </c:pt>
                <c:pt idx="11">
                  <c:v>21291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E0AF-489F-AC73-381DC72CD132}"/>
            </c:ext>
          </c:extLst>
        </c:ser>
        <c:ser>
          <c:idx val="3"/>
          <c:order val="2"/>
          <c:tx>
            <c:strRef>
              <c:f>'10.11'!$AQ$30</c:f>
              <c:strCache>
                <c:ptCount val="1"/>
                <c:pt idx="0">
                  <c:v>Southern Europe</c:v>
                </c:pt>
              </c:strCache>
            </c:strRef>
          </c:tx>
          <c:spPr>
            <a:ln w="34925" cap="rnd">
              <a:solidFill>
                <a:srgbClr val="00DFDA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'10.11'!$AR$27:$BC$27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'10.11'!$AR$30:$BC$30</c:f>
              <c:numCache>
                <c:formatCode>_(* #,##0_);_(* \(#,##0\);_(* "-"??_);_(@_)</c:formatCode>
                <c:ptCount val="12"/>
                <c:pt idx="0">
                  <c:v>23346</c:v>
                </c:pt>
                <c:pt idx="1">
                  <c:v>21722</c:v>
                </c:pt>
                <c:pt idx="2">
                  <c:v>20038</c:v>
                </c:pt>
                <c:pt idx="3">
                  <c:v>17718</c:v>
                </c:pt>
                <c:pt idx="4">
                  <c:v>8196</c:v>
                </c:pt>
                <c:pt idx="5">
                  <c:v>8722</c:v>
                </c:pt>
                <c:pt idx="6">
                  <c:v>11692</c:v>
                </c:pt>
                <c:pt idx="7">
                  <c:v>20015</c:v>
                </c:pt>
                <c:pt idx="8">
                  <c:v>11327</c:v>
                </c:pt>
                <c:pt idx="9">
                  <c:v>14318</c:v>
                </c:pt>
                <c:pt idx="10">
                  <c:v>15185</c:v>
                </c:pt>
                <c:pt idx="11">
                  <c:v>28188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4-E0AF-489F-AC73-381DC72CD132}"/>
            </c:ext>
          </c:extLst>
        </c:ser>
        <c:ser>
          <c:idx val="4"/>
          <c:order val="3"/>
          <c:tx>
            <c:strRef>
              <c:f>'10.11'!$AQ$31</c:f>
              <c:strCache>
                <c:ptCount val="1"/>
                <c:pt idx="0">
                  <c:v>Western Europe</c:v>
                </c:pt>
              </c:strCache>
            </c:strRef>
          </c:tx>
          <c:spPr>
            <a:ln w="34925" cap="rnd">
              <a:solidFill>
                <a:schemeClr val="accent1">
                  <a:lumMod val="20000"/>
                  <a:lumOff val="80000"/>
                </a:schemeClr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'10.11'!$AR$27:$BC$27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'10.11'!$AR$31:$BC$31</c:f>
              <c:numCache>
                <c:formatCode>_(* #,##0_);_(* \(#,##0\);_(* "-"??_);_(@_)</c:formatCode>
                <c:ptCount val="12"/>
                <c:pt idx="0">
                  <c:v>25212</c:v>
                </c:pt>
                <c:pt idx="1">
                  <c:v>32518</c:v>
                </c:pt>
                <c:pt idx="2">
                  <c:v>28531</c:v>
                </c:pt>
                <c:pt idx="3">
                  <c:v>27129</c:v>
                </c:pt>
                <c:pt idx="4">
                  <c:v>15833</c:v>
                </c:pt>
                <c:pt idx="5">
                  <c:v>9635</c:v>
                </c:pt>
                <c:pt idx="6">
                  <c:v>14384</c:v>
                </c:pt>
                <c:pt idx="7">
                  <c:v>16631</c:v>
                </c:pt>
                <c:pt idx="8">
                  <c:v>15922</c:v>
                </c:pt>
                <c:pt idx="9">
                  <c:v>29085</c:v>
                </c:pt>
                <c:pt idx="10">
                  <c:v>26554</c:v>
                </c:pt>
                <c:pt idx="11">
                  <c:v>26095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5-E0AF-489F-AC73-381DC72CD132}"/>
            </c:ext>
          </c:extLst>
        </c:ser>
        <c:ser>
          <c:idx val="2"/>
          <c:order val="4"/>
          <c:tx>
            <c:strRef>
              <c:f>'10.11'!$AQ$32</c:f>
              <c:strCache>
                <c:ptCount val="1"/>
                <c:pt idx="0">
                  <c:v>East/Mediterranean Europe</c:v>
                </c:pt>
              </c:strCache>
            </c:strRef>
          </c:tx>
          <c:spPr>
            <a:ln w="34925" cap="rnd">
              <a:solidFill>
                <a:srgbClr val="009999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'10.11'!$AR$27:$BC$27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'10.11'!$AR$32:$BC$32</c:f>
              <c:numCache>
                <c:formatCode>_(* #,##0_);_(* \(#,##0\);_(* "-"??_);_(@_)</c:formatCode>
                <c:ptCount val="12"/>
                <c:pt idx="0">
                  <c:v>2959</c:v>
                </c:pt>
                <c:pt idx="1">
                  <c:v>1937</c:v>
                </c:pt>
                <c:pt idx="2">
                  <c:v>2317</c:v>
                </c:pt>
                <c:pt idx="3">
                  <c:v>2496</c:v>
                </c:pt>
                <c:pt idx="4">
                  <c:v>1704</c:v>
                </c:pt>
                <c:pt idx="5">
                  <c:v>1939</c:v>
                </c:pt>
                <c:pt idx="6">
                  <c:v>2274</c:v>
                </c:pt>
                <c:pt idx="7">
                  <c:v>2973</c:v>
                </c:pt>
                <c:pt idx="8">
                  <c:v>3233</c:v>
                </c:pt>
                <c:pt idx="9">
                  <c:v>1591</c:v>
                </c:pt>
                <c:pt idx="10">
                  <c:v>1530</c:v>
                </c:pt>
                <c:pt idx="11">
                  <c:v>1438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6-E0AF-489F-AC73-381DC72CD132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10830560"/>
        <c:axId val="528824280"/>
      </c:lineChart>
      <c:catAx>
        <c:axId val="410830560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28824280"/>
        <c:crosses val="autoZero"/>
        <c:auto val="1"/>
        <c:lblAlgn val="ctr"/>
        <c:lblOffset val="100"/>
        <c:noMultiLvlLbl val="0"/>
      </c:catAx>
      <c:valAx>
        <c:axId val="528824280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rgbClr val="C5FFFF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Numbers</a:t>
                </a:r>
              </a:p>
            </c:rich>
          </c:tx>
          <c:layout>
            <c:manualLayout>
              <c:xMode val="edge"/>
              <c:yMode val="edge"/>
              <c:x val="1.2004699827419154E-3"/>
              <c:y val="0.4099761663459318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0830560"/>
        <c:crosses val="autoZero"/>
        <c:crossBetween val="between"/>
      </c:valAx>
      <c:spPr>
        <a:solidFill>
          <a:srgbClr val="EFFFFF"/>
        </a:solidFill>
        <a:ln>
          <a:solidFill>
            <a:schemeClr val="bg1">
              <a:lumMod val="9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37699160657901809"/>
          <c:y val="0.14910428005976731"/>
          <c:w val="0.60007397779924387"/>
          <c:h val="0.1902773872966031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4"/>
    </mc:Choice>
    <mc:Fallback>
      <c:style val="4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200" b="1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1200"/>
              <a:t>Figure 10.18: Monthly tourist arrivals by Asian Market, 2023 </a:t>
            </a:r>
          </a:p>
        </c:rich>
      </c:tx>
      <c:layout>
        <c:manualLayout>
          <c:xMode val="edge"/>
          <c:yMode val="edge"/>
          <c:x val="0.27657001697800809"/>
          <c:y val="3.562319969755878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2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176545986632074"/>
          <c:y val="0.15014656490773748"/>
          <c:w val="0.86420778143168298"/>
          <c:h val="0.74491601350388115"/>
        </c:manualLayout>
      </c:layout>
      <c:lineChart>
        <c:grouping val="standard"/>
        <c:varyColors val="0"/>
        <c:ser>
          <c:idx val="0"/>
          <c:order val="0"/>
          <c:tx>
            <c:strRef>
              <c:f>'10.11'!$AQ$37</c:f>
              <c:strCache>
                <c:ptCount val="1"/>
                <c:pt idx="0">
                  <c:v>North East Asia</c:v>
                </c:pt>
              </c:strCache>
            </c:strRef>
          </c:tx>
          <c:spPr>
            <a:ln w="34925" cap="rnd">
              <a:solidFill>
                <a:srgbClr val="00DFDA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'10.11'!$AR$36:$BC$36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'10.11'!$AR$37:$BC$37</c:f>
              <c:numCache>
                <c:formatCode>_(* #,##0_);_(* \(#,##0\);_(* "-"??_);_(@_)</c:formatCode>
                <c:ptCount val="12"/>
                <c:pt idx="0">
                  <c:v>10336</c:v>
                </c:pt>
                <c:pt idx="1">
                  <c:v>9436</c:v>
                </c:pt>
                <c:pt idx="2">
                  <c:v>12705</c:v>
                </c:pt>
                <c:pt idx="3">
                  <c:v>18675</c:v>
                </c:pt>
                <c:pt idx="4">
                  <c:v>19148</c:v>
                </c:pt>
                <c:pt idx="5">
                  <c:v>20438</c:v>
                </c:pt>
                <c:pt idx="6">
                  <c:v>32381</c:v>
                </c:pt>
                <c:pt idx="7">
                  <c:v>33254</c:v>
                </c:pt>
                <c:pt idx="8">
                  <c:v>30299</c:v>
                </c:pt>
                <c:pt idx="9">
                  <c:v>23315</c:v>
                </c:pt>
                <c:pt idx="10">
                  <c:v>18427</c:v>
                </c:pt>
                <c:pt idx="11">
                  <c:v>18262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0-B972-40F7-B71E-05A7C82D9A47}"/>
            </c:ext>
          </c:extLst>
        </c:ser>
        <c:ser>
          <c:idx val="1"/>
          <c:order val="1"/>
          <c:tx>
            <c:strRef>
              <c:f>'10.11'!$AQ$38</c:f>
              <c:strCache>
                <c:ptCount val="1"/>
                <c:pt idx="0">
                  <c:v>South East Asia</c:v>
                </c:pt>
              </c:strCache>
            </c:strRef>
          </c:tx>
          <c:spPr>
            <a:ln w="34925" cap="rnd">
              <a:solidFill>
                <a:srgbClr val="006F6C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'10.11'!$AR$36:$BC$36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'10.11'!$AR$38:$BC$38</c:f>
              <c:numCache>
                <c:formatCode>_(* #,##0_);_(* \(#,##0\);_(* "-"??_);_(@_)</c:formatCode>
                <c:ptCount val="12"/>
                <c:pt idx="0">
                  <c:v>3398</c:v>
                </c:pt>
                <c:pt idx="1">
                  <c:v>3739</c:v>
                </c:pt>
                <c:pt idx="2">
                  <c:v>5698</c:v>
                </c:pt>
                <c:pt idx="3">
                  <c:v>6154</c:v>
                </c:pt>
                <c:pt idx="4">
                  <c:v>5584</c:v>
                </c:pt>
                <c:pt idx="5">
                  <c:v>6828</c:v>
                </c:pt>
                <c:pt idx="6">
                  <c:v>3749</c:v>
                </c:pt>
                <c:pt idx="7">
                  <c:v>4154</c:v>
                </c:pt>
                <c:pt idx="8">
                  <c:v>3837</c:v>
                </c:pt>
                <c:pt idx="9">
                  <c:v>4860</c:v>
                </c:pt>
                <c:pt idx="10">
                  <c:v>4896</c:v>
                </c:pt>
                <c:pt idx="11">
                  <c:v>6050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1-B972-40F7-B71E-05A7C82D9A47}"/>
            </c:ext>
          </c:extLst>
        </c:ser>
        <c:ser>
          <c:idx val="2"/>
          <c:order val="2"/>
          <c:tx>
            <c:strRef>
              <c:f>'10.11'!$AQ$39</c:f>
              <c:strCache>
                <c:ptCount val="1"/>
                <c:pt idx="0">
                  <c:v>South Asia</c:v>
                </c:pt>
              </c:strCache>
            </c:strRef>
          </c:tx>
          <c:spPr>
            <a:ln w="34925" cap="rnd">
              <a:solidFill>
                <a:srgbClr val="009999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marker>
            <c:symbol val="none"/>
          </c:marker>
          <c:dLbls>
            <c:delete val="1"/>
          </c:dLbls>
          <c:cat>
            <c:strRef>
              <c:f>'10.11'!$AR$36:$BC$36</c:f>
              <c:strCache>
                <c:ptCount val="12"/>
                <c:pt idx="0">
                  <c:v>Jan</c:v>
                </c:pt>
                <c:pt idx="1">
                  <c:v>Feb</c:v>
                </c:pt>
                <c:pt idx="2">
                  <c:v>Mar</c:v>
                </c:pt>
                <c:pt idx="3">
                  <c:v>Apr</c:v>
                </c:pt>
                <c:pt idx="4">
                  <c:v>May</c:v>
                </c:pt>
                <c:pt idx="5">
                  <c:v>Jun</c:v>
                </c:pt>
                <c:pt idx="6">
                  <c:v>Jul</c:v>
                </c:pt>
                <c:pt idx="7">
                  <c:v>Aug</c:v>
                </c:pt>
                <c:pt idx="8">
                  <c:v>Sep</c:v>
                </c:pt>
                <c:pt idx="9">
                  <c:v>Oct</c:v>
                </c:pt>
                <c:pt idx="10">
                  <c:v>Nov</c:v>
                </c:pt>
                <c:pt idx="11">
                  <c:v>Dec</c:v>
                </c:pt>
              </c:strCache>
            </c:strRef>
          </c:cat>
          <c:val>
            <c:numRef>
              <c:f>'10.11'!$AR$39:$BC$39</c:f>
              <c:numCache>
                <c:formatCode>_(* #,##0_);_(* \(#,##0\);_(* "-"??_);_(@_)</c:formatCode>
                <c:ptCount val="12"/>
                <c:pt idx="0">
                  <c:v>22806</c:v>
                </c:pt>
                <c:pt idx="1">
                  <c:v>23234</c:v>
                </c:pt>
                <c:pt idx="2">
                  <c:v>22354</c:v>
                </c:pt>
                <c:pt idx="3">
                  <c:v>21288</c:v>
                </c:pt>
                <c:pt idx="4">
                  <c:v>24023</c:v>
                </c:pt>
                <c:pt idx="5">
                  <c:v>20793</c:v>
                </c:pt>
                <c:pt idx="6">
                  <c:v>16943</c:v>
                </c:pt>
                <c:pt idx="7">
                  <c:v>18543</c:v>
                </c:pt>
                <c:pt idx="8">
                  <c:v>18819</c:v>
                </c:pt>
                <c:pt idx="9">
                  <c:v>20305</c:v>
                </c:pt>
                <c:pt idx="10">
                  <c:v>24001</c:v>
                </c:pt>
                <c:pt idx="11">
                  <c:v>31644</c:v>
                </c:pt>
              </c:numCache>
            </c:numRef>
          </c:val>
          <c:smooth val="1"/>
          <c:extLst>
            <c:ext xmlns:c16="http://schemas.microsoft.com/office/drawing/2014/chart" uri="{C3380CC4-5D6E-409C-BE32-E72D297353CC}">
              <c16:uniqueId val="{00000002-B972-40F7-B71E-05A7C82D9A47}"/>
            </c:ext>
          </c:extLst>
        </c:ser>
        <c:dLbls>
          <c:dLblPos val="ctr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406955272"/>
        <c:axId val="158431488"/>
      </c:lineChart>
      <c:catAx>
        <c:axId val="4069552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58431488"/>
        <c:crosses val="autoZero"/>
        <c:auto val="1"/>
        <c:lblAlgn val="ctr"/>
        <c:lblOffset val="100"/>
        <c:noMultiLvlLbl val="0"/>
      </c:catAx>
      <c:valAx>
        <c:axId val="158431488"/>
        <c:scaling>
          <c:orientation val="minMax"/>
          <c:min val="0"/>
        </c:scaling>
        <c:delete val="0"/>
        <c:axPos val="l"/>
        <c:majorGridlines>
          <c:spPr>
            <a:ln w="9525" cap="flat" cmpd="sng" algn="ctr">
              <a:solidFill>
                <a:srgbClr val="C5FFFF"/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Numbers</a:t>
                </a:r>
              </a:p>
            </c:rich>
          </c:tx>
          <c:layout>
            <c:manualLayout>
              <c:xMode val="edge"/>
              <c:yMode val="edge"/>
              <c:x val="8.5919833505218243E-3"/>
              <c:y val="0.44128105017345176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#,##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06955272"/>
        <c:crosses val="autoZero"/>
        <c:crossBetween val="between"/>
      </c:valAx>
      <c:spPr>
        <a:solidFill>
          <a:srgbClr val="EFFFFF"/>
        </a:solidFill>
        <a:ln>
          <a:solidFill>
            <a:schemeClr val="bg1">
              <a:lumMod val="95000"/>
            </a:schemeClr>
          </a:solidFill>
        </a:ln>
        <a:effectLst/>
      </c:spPr>
    </c:plotArea>
    <c:legend>
      <c:legendPos val="b"/>
      <c:layout>
        <c:manualLayout>
          <c:xMode val="edge"/>
          <c:yMode val="edge"/>
          <c:x val="0.12732764423950405"/>
          <c:y val="0.16509761789632929"/>
          <c:w val="0.6421910526440282"/>
          <c:h val="8.0591180461069334E-2"/>
        </c:manualLayout>
      </c:layout>
      <c:overlay val="0"/>
      <c:spPr>
        <a:solidFill>
          <a:srgbClr val="EFFFFF"/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05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000000000000144" l="0.70000000000000062" r="0.70000000000000062" t="0.75000000000000144" header="0.30000000000000032" footer="0.30000000000000032"/>
    <c:pageSetup orientation="portrait"/>
  </c:printSettings>
</c:chartSpace>
</file>

<file path=xl/charts/colors1.xml><?xml version="1.0" encoding="utf-8"?>
<cs:colorStyle xmlns:cs="http://schemas.microsoft.com/office/drawing/2012/chartStyle" xmlns:a="http://schemas.openxmlformats.org/drawingml/2006/main" meth="withinLinear" id="17">
  <a:schemeClr val="accent4"/>
</cs:colorStyle>
</file>

<file path=xl/charts/colors2.xml><?xml version="1.0" encoding="utf-8"?>
<cs:colorStyle xmlns:cs="http://schemas.microsoft.com/office/drawing/2012/chartStyle" xmlns:a="http://schemas.openxmlformats.org/drawingml/2006/main" meth="withinLinear" id="15">
  <a:schemeClr val="accent2"/>
</cs:colorStyle>
</file>

<file path=xl/charts/style1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342">
  <cs:axisTitle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2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ymbol="circle" size="6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lt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>
    <cs:lnRef idx="0"/>
    <cs:fillRef idx="0"/>
    <cs:effectRef idx="0"/>
    <cs:fontRef idx="minor">
      <a:schemeClr val="lt1"/>
    </cs:fontRef>
  </cs:plotArea>
  <cs:plotArea3D>
    <cs:lnRef idx="0"/>
    <cs:fillRef idx="0"/>
    <cs:effectRef idx="0"/>
    <cs:fontRef idx="minor">
      <a:schemeClr val="lt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spPr>
      <a:ln w="12700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600" b="1" kern="1200" baseline="0"/>
  </cs:title>
  <cs:trendline>
    <cs:lnRef idx="0">
      <cs:styleClr val="auto"/>
    </cs:lnRef>
    <cs:fillRef idx="0"/>
    <cs:effectRef idx="0"/>
    <cs:fontRef idx="minor">
      <a:schemeClr val="lt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lt1"/>
    </cs:fontRef>
  </cs:wall>
</cs:chartStyle>
</file>

<file path=xl/drawings/_rels/drawing1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64943</xdr:colOff>
      <xdr:row>24</xdr:row>
      <xdr:rowOff>146159</xdr:rowOff>
    </xdr:from>
    <xdr:to>
      <xdr:col>6</xdr:col>
      <xdr:colOff>324478</xdr:colOff>
      <xdr:row>43</xdr:row>
      <xdr:rowOff>73269</xdr:rowOff>
    </xdr:to>
    <xdr:graphicFrame macro="">
      <xdr:nvGraphicFramePr>
        <xdr:cNvPr id="4" name="Chart 4">
          <a:extLst>
            <a:ext uri="{FF2B5EF4-FFF2-40B4-BE49-F238E27FC236}">
              <a16:creationId xmlns:a16="http://schemas.microsoft.com/office/drawing/2014/main" id="{00000000-0008-0000-09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6</xdr:col>
      <xdr:colOff>460551</xdr:colOff>
      <xdr:row>24</xdr:row>
      <xdr:rowOff>121165</xdr:rowOff>
    </xdr:from>
    <xdr:to>
      <xdr:col>14</xdr:col>
      <xdr:colOff>1370889</xdr:colOff>
      <xdr:row>43</xdr:row>
      <xdr:rowOff>62801</xdr:rowOff>
    </xdr:to>
    <xdr:graphicFrame macro="">
      <xdr:nvGraphicFramePr>
        <xdr:cNvPr id="5" name="Chart 5">
          <a:extLst>
            <a:ext uri="{FF2B5EF4-FFF2-40B4-BE49-F238E27FC236}">
              <a16:creationId xmlns:a16="http://schemas.microsoft.com/office/drawing/2014/main" id="{00000000-0008-0000-0900-000005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X:\Dissemination\Publications\Statistical%20Year%20Book\YEARBOOK%202019\Checking\10%20%20TOURISM%20-%20MoT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10.1"/>
      <sheetName val="10.1 figures workings"/>
      <sheetName val="10.2"/>
      <sheetName val="10.3"/>
      <sheetName val="10.4"/>
      <sheetName val="Sheet1"/>
      <sheetName val="10.5"/>
      <sheetName val="10.6"/>
      <sheetName val="10.7"/>
      <sheetName val="10.8"/>
      <sheetName val="10.9"/>
      <sheetName val="10.11"/>
      <sheetName val="10.12"/>
      <sheetName val="10.13"/>
      <sheetName val="10.14"/>
    </sheetNames>
    <sheetDataSet>
      <sheetData sheetId="0"/>
      <sheetData sheetId="1"/>
      <sheetData sheetId="2">
        <row r="40">
          <cell r="AC40" t="str">
            <v>Resorts (including Marinas)</v>
          </cell>
        </row>
      </sheetData>
      <sheetData sheetId="3">
        <row r="19">
          <cell r="AI19" t="str">
            <v xml:space="preserve">Registered Bed Capacity </v>
          </cell>
          <cell r="AJ19" t="str">
            <v xml:space="preserve">Beds in operation </v>
          </cell>
        </row>
        <row r="20">
          <cell r="AH20" t="str">
            <v>Jan</v>
          </cell>
          <cell r="AI20">
            <v>41602</v>
          </cell>
          <cell r="AJ20">
            <v>40943</v>
          </cell>
        </row>
        <row r="21">
          <cell r="AH21" t="str">
            <v>Feb</v>
          </cell>
          <cell r="AI21">
            <v>41710</v>
          </cell>
          <cell r="AJ21">
            <v>40807</v>
          </cell>
        </row>
        <row r="22">
          <cell r="AH22" t="str">
            <v>Mar</v>
          </cell>
          <cell r="AI22">
            <v>42050</v>
          </cell>
          <cell r="AJ22">
            <v>41137</v>
          </cell>
        </row>
        <row r="23">
          <cell r="AH23" t="str">
            <v>Apr</v>
          </cell>
          <cell r="AI23">
            <v>42688</v>
          </cell>
          <cell r="AJ23">
            <v>41835</v>
          </cell>
        </row>
        <row r="24">
          <cell r="AH24" t="str">
            <v>May</v>
          </cell>
          <cell r="AI24">
            <v>42736</v>
          </cell>
          <cell r="AJ24">
            <v>41513</v>
          </cell>
        </row>
        <row r="25">
          <cell r="AH25" t="str">
            <v>Jun</v>
          </cell>
          <cell r="AI25">
            <v>42822</v>
          </cell>
          <cell r="AJ25">
            <v>41503</v>
          </cell>
        </row>
        <row r="26">
          <cell r="AH26" t="str">
            <v>Jul</v>
          </cell>
          <cell r="AI26">
            <v>42929</v>
          </cell>
          <cell r="AJ26">
            <v>41534</v>
          </cell>
        </row>
        <row r="27">
          <cell r="AH27" t="str">
            <v>Aug</v>
          </cell>
          <cell r="AI27">
            <v>43099</v>
          </cell>
          <cell r="AJ27">
            <v>41780</v>
          </cell>
        </row>
        <row r="28">
          <cell r="AH28" t="str">
            <v>Sep</v>
          </cell>
          <cell r="AI28">
            <v>43660</v>
          </cell>
          <cell r="AJ28">
            <v>42355</v>
          </cell>
        </row>
        <row r="29">
          <cell r="AH29" t="str">
            <v>Oct</v>
          </cell>
          <cell r="AI29">
            <v>43806</v>
          </cell>
          <cell r="AJ29">
            <v>42501</v>
          </cell>
        </row>
        <row r="30">
          <cell r="AH30" t="str">
            <v>Nov</v>
          </cell>
          <cell r="AI30">
            <v>44345</v>
          </cell>
          <cell r="AJ30">
            <v>42960</v>
          </cell>
        </row>
        <row r="31">
          <cell r="AH31" t="str">
            <v>Dec</v>
          </cell>
          <cell r="AI31">
            <v>44860</v>
          </cell>
          <cell r="AJ31">
            <v>43448</v>
          </cell>
        </row>
      </sheetData>
      <sheetData sheetId="4">
        <row r="19">
          <cell r="AE19" t="str">
            <v xml:space="preserve">Registered Bed Capacity </v>
          </cell>
        </row>
      </sheetData>
      <sheetData sheetId="5"/>
      <sheetData sheetId="6">
        <row r="21">
          <cell r="AF21" t="str">
            <v xml:space="preserve">Registered Bed Capacity </v>
          </cell>
          <cell r="AG21" t="str">
            <v xml:space="preserve">Beds in operation </v>
          </cell>
        </row>
        <row r="22">
          <cell r="AE22" t="str">
            <v>Jan</v>
          </cell>
          <cell r="AF22">
            <v>10</v>
          </cell>
          <cell r="AG22">
            <v>10</v>
          </cell>
        </row>
        <row r="23">
          <cell r="AE23" t="str">
            <v>Feb</v>
          </cell>
          <cell r="AF23">
            <v>10</v>
          </cell>
          <cell r="AG23">
            <v>10</v>
          </cell>
        </row>
        <row r="24">
          <cell r="AE24" t="str">
            <v>Mar</v>
          </cell>
          <cell r="AF24">
            <v>10</v>
          </cell>
          <cell r="AG24">
            <v>10</v>
          </cell>
        </row>
        <row r="25">
          <cell r="AE25" t="str">
            <v>Apr</v>
          </cell>
          <cell r="AF25">
            <v>12</v>
          </cell>
          <cell r="AG25">
            <v>12</v>
          </cell>
        </row>
        <row r="26">
          <cell r="AE26" t="str">
            <v>May</v>
          </cell>
          <cell r="AF26">
            <v>12</v>
          </cell>
          <cell r="AG26">
            <v>12</v>
          </cell>
        </row>
        <row r="27">
          <cell r="AE27" t="str">
            <v>Jun</v>
          </cell>
          <cell r="AF27">
            <v>12</v>
          </cell>
          <cell r="AG27">
            <v>12</v>
          </cell>
        </row>
        <row r="28">
          <cell r="AE28" t="str">
            <v>Jul</v>
          </cell>
          <cell r="AF28">
            <v>12</v>
          </cell>
          <cell r="AG28">
            <v>12</v>
          </cell>
        </row>
        <row r="29">
          <cell r="AE29" t="str">
            <v>Aug</v>
          </cell>
          <cell r="AF29">
            <v>12</v>
          </cell>
          <cell r="AG29">
            <v>12</v>
          </cell>
        </row>
        <row r="30">
          <cell r="AE30" t="str">
            <v>Sep</v>
          </cell>
          <cell r="AF30">
            <v>12</v>
          </cell>
          <cell r="AG30">
            <v>12</v>
          </cell>
        </row>
        <row r="31">
          <cell r="AE31" t="str">
            <v>Oct</v>
          </cell>
          <cell r="AF31">
            <v>12</v>
          </cell>
          <cell r="AG31">
            <v>12</v>
          </cell>
        </row>
        <row r="32">
          <cell r="AE32" t="str">
            <v>Nov</v>
          </cell>
          <cell r="AF32">
            <v>12</v>
          </cell>
          <cell r="AG32">
            <v>12</v>
          </cell>
        </row>
        <row r="33">
          <cell r="AE33" t="str">
            <v>Dec</v>
          </cell>
          <cell r="AF33">
            <v>12</v>
          </cell>
          <cell r="AG33">
            <v>12</v>
          </cell>
        </row>
      </sheetData>
      <sheetData sheetId="7">
        <row r="19">
          <cell r="AE19" t="str">
            <v xml:space="preserve">Registered Bed Capacity </v>
          </cell>
          <cell r="AF19" t="str">
            <v xml:space="preserve">Beds in operation </v>
          </cell>
        </row>
        <row r="20">
          <cell r="AD20" t="str">
            <v>Jan</v>
          </cell>
          <cell r="AE20">
            <v>7464</v>
          </cell>
          <cell r="AF20">
            <v>7464</v>
          </cell>
        </row>
        <row r="21">
          <cell r="AD21" t="str">
            <v>Feb</v>
          </cell>
          <cell r="AE21">
            <v>7528</v>
          </cell>
          <cell r="AF21">
            <v>7528</v>
          </cell>
        </row>
        <row r="22">
          <cell r="AD22" t="str">
            <v>Mar</v>
          </cell>
          <cell r="AE22">
            <v>7750</v>
          </cell>
          <cell r="AF22">
            <v>7750</v>
          </cell>
        </row>
        <row r="23">
          <cell r="AD23" t="str">
            <v>Apr</v>
          </cell>
          <cell r="AE23">
            <v>7922</v>
          </cell>
          <cell r="AF23">
            <v>7922</v>
          </cell>
        </row>
        <row r="24">
          <cell r="AD24" t="str">
            <v>May</v>
          </cell>
          <cell r="AE24">
            <v>7948</v>
          </cell>
          <cell r="AF24">
            <v>7948</v>
          </cell>
        </row>
        <row r="25">
          <cell r="AD25" t="str">
            <v>Jun</v>
          </cell>
          <cell r="AE25">
            <v>8006</v>
          </cell>
          <cell r="AF25">
            <v>7998</v>
          </cell>
        </row>
        <row r="26">
          <cell r="AD26" t="str">
            <v>Jul</v>
          </cell>
          <cell r="AE26">
            <v>8098</v>
          </cell>
          <cell r="AF26">
            <v>8090</v>
          </cell>
        </row>
        <row r="27">
          <cell r="AD27" t="str">
            <v>Aug</v>
          </cell>
          <cell r="AE27">
            <v>8134</v>
          </cell>
          <cell r="AF27">
            <v>8112</v>
          </cell>
        </row>
        <row r="28">
          <cell r="AD28" t="str">
            <v>Sep</v>
          </cell>
          <cell r="AE28">
            <v>8208</v>
          </cell>
          <cell r="AF28">
            <v>8200</v>
          </cell>
        </row>
        <row r="29">
          <cell r="AD29" t="str">
            <v>Oct</v>
          </cell>
          <cell r="AE29">
            <v>8294</v>
          </cell>
          <cell r="AF29">
            <v>8286</v>
          </cell>
        </row>
        <row r="30">
          <cell r="AD30" t="str">
            <v>Nov</v>
          </cell>
          <cell r="AE30">
            <v>8292</v>
          </cell>
          <cell r="AF30">
            <v>8248</v>
          </cell>
        </row>
        <row r="31">
          <cell r="AD31" t="str">
            <v>Dec</v>
          </cell>
          <cell r="AE31">
            <v>8563</v>
          </cell>
          <cell r="AF31">
            <v>8454</v>
          </cell>
        </row>
      </sheetData>
      <sheetData sheetId="8">
        <row r="20">
          <cell r="AF20" t="str">
            <v xml:space="preserve">Registered Bed Capacity </v>
          </cell>
          <cell r="AG20" t="str">
            <v xml:space="preserve">Beds in operation </v>
          </cell>
        </row>
        <row r="21">
          <cell r="AE21" t="str">
            <v>Jan</v>
          </cell>
          <cell r="AF21">
            <v>2619</v>
          </cell>
          <cell r="AG21">
            <v>2619</v>
          </cell>
        </row>
        <row r="22">
          <cell r="AE22" t="str">
            <v>Feb</v>
          </cell>
          <cell r="AF22">
            <v>2663</v>
          </cell>
          <cell r="AG22">
            <v>2663</v>
          </cell>
        </row>
        <row r="23">
          <cell r="AE23" t="str">
            <v>Mar</v>
          </cell>
          <cell r="AF23">
            <v>2663</v>
          </cell>
          <cell r="AG23">
            <v>2663</v>
          </cell>
        </row>
        <row r="24">
          <cell r="AE24" t="str">
            <v>Apr</v>
          </cell>
          <cell r="AF24">
            <v>2719</v>
          </cell>
          <cell r="AG24">
            <v>2719</v>
          </cell>
        </row>
        <row r="25">
          <cell r="AE25" t="str">
            <v>May</v>
          </cell>
          <cell r="AF25">
            <v>2741</v>
          </cell>
          <cell r="AG25">
            <v>2741</v>
          </cell>
        </row>
        <row r="26">
          <cell r="AE26" t="str">
            <v>Jun</v>
          </cell>
          <cell r="AF26">
            <v>2749</v>
          </cell>
          <cell r="AG26">
            <v>2735</v>
          </cell>
        </row>
        <row r="27">
          <cell r="AE27" t="str">
            <v>Jul</v>
          </cell>
          <cell r="AF27">
            <v>2764</v>
          </cell>
          <cell r="AG27">
            <v>2764</v>
          </cell>
        </row>
        <row r="28">
          <cell r="AE28" t="str">
            <v>Aug</v>
          </cell>
          <cell r="AF28">
            <v>2764</v>
          </cell>
          <cell r="AG28">
            <v>2764</v>
          </cell>
        </row>
        <row r="29">
          <cell r="AE29" t="str">
            <v>Sep</v>
          </cell>
          <cell r="AF29">
            <v>2769</v>
          </cell>
          <cell r="AG29">
            <v>2769</v>
          </cell>
        </row>
        <row r="30">
          <cell r="AE30" t="str">
            <v>Oct</v>
          </cell>
          <cell r="AF30">
            <v>2769</v>
          </cell>
          <cell r="AG30">
            <v>2769</v>
          </cell>
        </row>
        <row r="31">
          <cell r="AE31" t="str">
            <v>Nov</v>
          </cell>
          <cell r="AF31">
            <v>2772</v>
          </cell>
          <cell r="AG31">
            <v>2772</v>
          </cell>
        </row>
        <row r="32">
          <cell r="AE32" t="str">
            <v>Dec</v>
          </cell>
          <cell r="AF32">
            <v>2758</v>
          </cell>
          <cell r="AG32">
            <v>2758</v>
          </cell>
        </row>
      </sheetData>
      <sheetData sheetId="9">
        <row r="15">
          <cell r="A15" t="str">
            <v>Male</v>
          </cell>
        </row>
      </sheetData>
      <sheetData sheetId="10">
        <row r="5">
          <cell r="O5" t="str">
            <v xml:space="preserve">Tourist Arrivals </v>
          </cell>
        </row>
      </sheetData>
      <sheetData sheetId="11">
        <row r="6">
          <cell r="A6" t="str">
            <v>Central/Eastern Europe</v>
          </cell>
        </row>
      </sheetData>
      <sheetData sheetId="12">
        <row r="27">
          <cell r="X27" t="str">
            <v>HA</v>
          </cell>
        </row>
      </sheetData>
      <sheetData sheetId="13">
        <row r="20">
          <cell r="V20" t="str">
            <v>Jan</v>
          </cell>
        </row>
      </sheetData>
      <sheetData sheetId="14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BC39"/>
  <sheetViews>
    <sheetView tabSelected="1" topLeftCell="C1" zoomScale="96" zoomScaleNormal="96" workbookViewId="0">
      <selection sqref="A1:O1"/>
    </sheetView>
  </sheetViews>
  <sheetFormatPr defaultColWidth="9.140625" defaultRowHeight="12.75"/>
  <cols>
    <col min="1" max="1" width="24.42578125" style="9" customWidth="1"/>
    <col min="2" max="2" width="17.28515625" style="9" customWidth="1"/>
    <col min="3" max="14" width="13.5703125" style="9" customWidth="1"/>
    <col min="15" max="15" width="21.5703125" style="9" customWidth="1"/>
    <col min="16" max="42" width="9.140625" style="9"/>
    <col min="43" max="43" width="13.7109375" style="9" customWidth="1"/>
    <col min="44" max="16384" width="9.140625" style="9"/>
  </cols>
  <sheetData>
    <row r="1" spans="1:55" s="7" customFormat="1" ht="19.5" customHeight="1">
      <c r="A1" s="6" t="s">
        <v>69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55" ht="16.5" customHeight="1">
      <c r="A2" s="8" t="s">
        <v>68</v>
      </c>
      <c r="B2" s="8"/>
      <c r="C2" s="8"/>
      <c r="D2" s="8"/>
      <c r="E2" s="8"/>
      <c r="F2" s="8"/>
      <c r="G2" s="8"/>
      <c r="H2" s="8"/>
      <c r="I2" s="8"/>
      <c r="J2" s="8"/>
      <c r="K2" s="8"/>
      <c r="L2" s="8"/>
      <c r="M2" s="8"/>
      <c r="N2" s="8"/>
      <c r="O2" s="8"/>
    </row>
    <row r="3" spans="1:55" s="10" customFormat="1" ht="29.25" customHeight="1">
      <c r="A3" s="31" t="s">
        <v>38</v>
      </c>
      <c r="B3" s="32" t="s">
        <v>25</v>
      </c>
      <c r="C3" s="32" t="s">
        <v>26</v>
      </c>
      <c r="D3" s="32" t="s">
        <v>27</v>
      </c>
      <c r="E3" s="32" t="s">
        <v>28</v>
      </c>
      <c r="F3" s="32" t="s">
        <v>29</v>
      </c>
      <c r="G3" s="32" t="s">
        <v>30</v>
      </c>
      <c r="H3" s="32" t="s">
        <v>31</v>
      </c>
      <c r="I3" s="32" t="s">
        <v>32</v>
      </c>
      <c r="J3" s="32" t="s">
        <v>33</v>
      </c>
      <c r="K3" s="32" t="s">
        <v>34</v>
      </c>
      <c r="L3" s="32" t="s">
        <v>35</v>
      </c>
      <c r="M3" s="32" t="s">
        <v>36</v>
      </c>
      <c r="N3" s="32" t="s">
        <v>37</v>
      </c>
      <c r="O3" s="33" t="s">
        <v>39</v>
      </c>
    </row>
    <row r="4" spans="1:55" s="13" customFormat="1" ht="17.25" customHeight="1">
      <c r="A4" s="11" t="s">
        <v>0</v>
      </c>
      <c r="B4" s="1">
        <f>B5+B11+B15+B16+B17+B18+B19+B20</f>
        <v>1878543</v>
      </c>
      <c r="C4" s="1">
        <f t="shared" ref="C4:N4" si="0">C5+C11+C15+C16+C17+C18+C19+C20</f>
        <v>172499</v>
      </c>
      <c r="D4" s="1">
        <f t="shared" si="0"/>
        <v>177915</v>
      </c>
      <c r="E4" s="1">
        <f t="shared" si="0"/>
        <v>173514</v>
      </c>
      <c r="F4" s="1">
        <f t="shared" si="0"/>
        <v>164357</v>
      </c>
      <c r="G4" s="1">
        <f t="shared" si="0"/>
        <v>120959</v>
      </c>
      <c r="H4" s="1">
        <f t="shared" si="0"/>
        <v>120363</v>
      </c>
      <c r="I4" s="1">
        <f t="shared" si="0"/>
        <v>145620</v>
      </c>
      <c r="J4" s="1">
        <f t="shared" si="0"/>
        <v>154854</v>
      </c>
      <c r="K4" s="1">
        <f t="shared" si="0"/>
        <v>130967</v>
      </c>
      <c r="L4" s="1">
        <f t="shared" si="0"/>
        <v>159141</v>
      </c>
      <c r="M4" s="1">
        <f t="shared" si="0"/>
        <v>163658</v>
      </c>
      <c r="N4" s="1">
        <f t="shared" si="0"/>
        <v>194696</v>
      </c>
      <c r="O4" s="12" t="s">
        <v>1</v>
      </c>
    </row>
    <row r="5" spans="1:55" s="13" customFormat="1" ht="19.5" customHeight="1">
      <c r="A5" s="11" t="s">
        <v>2</v>
      </c>
      <c r="B5" s="1">
        <f t="shared" ref="B5:N5" si="1">SUM(B6:B10)</f>
        <v>1054709</v>
      </c>
      <c r="C5" s="1">
        <f>SUM(C6:C10)</f>
        <v>115179</v>
      </c>
      <c r="D5" s="1">
        <f>SUM(D6:D10)</f>
        <v>121737</v>
      </c>
      <c r="E5" s="1">
        <f t="shared" si="1"/>
        <v>109673</v>
      </c>
      <c r="F5" s="1">
        <f t="shared" si="1"/>
        <v>94534</v>
      </c>
      <c r="G5" s="1">
        <f t="shared" si="1"/>
        <v>53355</v>
      </c>
      <c r="H5" s="1">
        <f t="shared" si="1"/>
        <v>50320</v>
      </c>
      <c r="I5" s="1">
        <f t="shared" si="1"/>
        <v>68975</v>
      </c>
      <c r="J5" s="1">
        <f t="shared" si="1"/>
        <v>77983</v>
      </c>
      <c r="K5" s="1">
        <f t="shared" si="1"/>
        <v>59520</v>
      </c>
      <c r="L5" s="1">
        <f t="shared" si="1"/>
        <v>92620</v>
      </c>
      <c r="M5" s="1">
        <f t="shared" si="1"/>
        <v>95696</v>
      </c>
      <c r="N5" s="1">
        <f t="shared" si="1"/>
        <v>115117</v>
      </c>
      <c r="O5" s="12" t="s">
        <v>3</v>
      </c>
      <c r="P5" s="14"/>
      <c r="Q5" s="14"/>
      <c r="R5" s="14"/>
      <c r="S5" s="14"/>
      <c r="T5" s="14"/>
      <c r="U5" s="14"/>
      <c r="V5" s="14"/>
      <c r="W5" s="14"/>
      <c r="X5" s="14"/>
      <c r="Y5" s="14"/>
      <c r="Z5" s="14"/>
      <c r="AA5" s="14"/>
      <c r="AB5" s="14"/>
      <c r="AC5" s="14"/>
      <c r="AD5" s="14"/>
      <c r="AE5" s="14"/>
      <c r="AF5" s="14"/>
      <c r="AG5" s="14"/>
      <c r="AH5" s="14"/>
      <c r="AI5" s="14"/>
      <c r="AJ5" s="14"/>
      <c r="AK5" s="14"/>
      <c r="AL5" s="14"/>
      <c r="AM5" s="14"/>
      <c r="AN5" s="14"/>
      <c r="AO5" s="14"/>
    </row>
    <row r="6" spans="1:55" s="17" customFormat="1" ht="19.5" customHeight="1">
      <c r="A6" s="15" t="s">
        <v>40</v>
      </c>
      <c r="B6" s="2">
        <f t="shared" ref="B6:B18" si="2">SUM(C6:N6)</f>
        <v>369248</v>
      </c>
      <c r="C6" s="2">
        <v>44319</v>
      </c>
      <c r="D6" s="2">
        <v>41991</v>
      </c>
      <c r="E6" s="2">
        <v>38136</v>
      </c>
      <c r="F6" s="2">
        <v>28665</v>
      </c>
      <c r="G6" s="2">
        <v>18314</v>
      </c>
      <c r="H6" s="2">
        <v>21746</v>
      </c>
      <c r="I6" s="2">
        <v>28079</v>
      </c>
      <c r="J6" s="2">
        <v>26607</v>
      </c>
      <c r="K6" s="2">
        <v>19756</v>
      </c>
      <c r="L6" s="2">
        <v>29722</v>
      </c>
      <c r="M6" s="2">
        <v>33808</v>
      </c>
      <c r="N6" s="2">
        <v>38105</v>
      </c>
      <c r="O6" s="16" t="s">
        <v>41</v>
      </c>
    </row>
    <row r="7" spans="1:55" s="17" customFormat="1" ht="19.5" customHeight="1">
      <c r="A7" s="15" t="s">
        <v>42</v>
      </c>
      <c r="B7" s="2">
        <f t="shared" si="2"/>
        <v>191074</v>
      </c>
      <c r="C7" s="2">
        <v>19343</v>
      </c>
      <c r="D7" s="2">
        <v>23569</v>
      </c>
      <c r="E7" s="2">
        <v>20651</v>
      </c>
      <c r="F7" s="2">
        <v>18526</v>
      </c>
      <c r="G7" s="2">
        <v>9308</v>
      </c>
      <c r="H7" s="2">
        <v>8278</v>
      </c>
      <c r="I7" s="2">
        <v>12546</v>
      </c>
      <c r="J7" s="2">
        <v>11757</v>
      </c>
      <c r="K7" s="2">
        <v>9282</v>
      </c>
      <c r="L7" s="2">
        <v>17904</v>
      </c>
      <c r="M7" s="2">
        <v>18619</v>
      </c>
      <c r="N7" s="2">
        <v>21291</v>
      </c>
      <c r="O7" s="16" t="s">
        <v>43</v>
      </c>
    </row>
    <row r="8" spans="1:55" s="17" customFormat="1" ht="19.5" customHeight="1">
      <c r="A8" s="15" t="s">
        <v>44</v>
      </c>
      <c r="B8" s="2">
        <f t="shared" si="2"/>
        <v>200467</v>
      </c>
      <c r="C8" s="2">
        <v>23346</v>
      </c>
      <c r="D8" s="2">
        <v>21722</v>
      </c>
      <c r="E8" s="2">
        <v>20038</v>
      </c>
      <c r="F8" s="2">
        <v>17718</v>
      </c>
      <c r="G8" s="2">
        <v>8196</v>
      </c>
      <c r="H8" s="2">
        <v>8722</v>
      </c>
      <c r="I8" s="2">
        <v>11692</v>
      </c>
      <c r="J8" s="2">
        <v>20015</v>
      </c>
      <c r="K8" s="2">
        <v>11327</v>
      </c>
      <c r="L8" s="2">
        <v>14318</v>
      </c>
      <c r="M8" s="2">
        <v>15185</v>
      </c>
      <c r="N8" s="2">
        <v>28188</v>
      </c>
      <c r="O8" s="16" t="s">
        <v>45</v>
      </c>
    </row>
    <row r="9" spans="1:55" s="17" customFormat="1" ht="19.5" customHeight="1">
      <c r="A9" s="15" t="s">
        <v>46</v>
      </c>
      <c r="B9" s="2">
        <f t="shared" si="2"/>
        <v>267529</v>
      </c>
      <c r="C9" s="2">
        <v>25212</v>
      </c>
      <c r="D9" s="2">
        <v>32518</v>
      </c>
      <c r="E9" s="2">
        <v>28531</v>
      </c>
      <c r="F9" s="2">
        <v>27129</v>
      </c>
      <c r="G9" s="2">
        <v>15833</v>
      </c>
      <c r="H9" s="2">
        <v>9635</v>
      </c>
      <c r="I9" s="2">
        <v>14384</v>
      </c>
      <c r="J9" s="2">
        <v>16631</v>
      </c>
      <c r="K9" s="2">
        <v>15922</v>
      </c>
      <c r="L9" s="2">
        <v>29085</v>
      </c>
      <c r="M9" s="2">
        <v>26554</v>
      </c>
      <c r="N9" s="2">
        <v>26095</v>
      </c>
      <c r="O9" s="16" t="s">
        <v>47</v>
      </c>
      <c r="P9" s="10"/>
    </row>
    <row r="10" spans="1:55" s="17" customFormat="1" ht="19.5" customHeight="1">
      <c r="A10" s="18" t="s">
        <v>48</v>
      </c>
      <c r="B10" s="2">
        <f t="shared" si="2"/>
        <v>26391</v>
      </c>
      <c r="C10" s="2">
        <v>2959</v>
      </c>
      <c r="D10" s="2">
        <v>1937</v>
      </c>
      <c r="E10" s="2">
        <v>2317</v>
      </c>
      <c r="F10" s="2">
        <v>2496</v>
      </c>
      <c r="G10" s="2">
        <v>1704</v>
      </c>
      <c r="H10" s="2">
        <v>1939</v>
      </c>
      <c r="I10" s="2">
        <v>2274</v>
      </c>
      <c r="J10" s="2">
        <v>2973</v>
      </c>
      <c r="K10" s="2">
        <v>3233</v>
      </c>
      <c r="L10" s="2">
        <v>1591</v>
      </c>
      <c r="M10" s="2">
        <v>1530</v>
      </c>
      <c r="N10" s="2">
        <v>1438</v>
      </c>
      <c r="O10" s="16" t="s">
        <v>49</v>
      </c>
      <c r="P10" s="10"/>
    </row>
    <row r="11" spans="1:55" s="13" customFormat="1" ht="19.5" customHeight="1">
      <c r="A11" s="11" t="s">
        <v>4</v>
      </c>
      <c r="B11" s="1">
        <f t="shared" si="2"/>
        <v>570376</v>
      </c>
      <c r="C11" s="1">
        <f>SUM(C12:C14)</f>
        <v>36540</v>
      </c>
      <c r="D11" s="1">
        <f>SUM(D12:D14)</f>
        <v>36409</v>
      </c>
      <c r="E11" s="1">
        <f t="shared" ref="E11:N11" si="3">SUM(E12:E14)</f>
        <v>40757</v>
      </c>
      <c r="F11" s="1">
        <f t="shared" si="3"/>
        <v>46117</v>
      </c>
      <c r="G11" s="1">
        <f t="shared" si="3"/>
        <v>48755</v>
      </c>
      <c r="H11" s="1">
        <f t="shared" si="3"/>
        <v>48059</v>
      </c>
      <c r="I11" s="1">
        <f t="shared" si="3"/>
        <v>53073</v>
      </c>
      <c r="J11" s="1">
        <f t="shared" si="3"/>
        <v>55951</v>
      </c>
      <c r="K11" s="1">
        <f t="shared" si="3"/>
        <v>52955</v>
      </c>
      <c r="L11" s="1">
        <f t="shared" si="3"/>
        <v>48480</v>
      </c>
      <c r="M11" s="1">
        <f t="shared" si="3"/>
        <v>47324</v>
      </c>
      <c r="N11" s="1">
        <f t="shared" si="3"/>
        <v>55956</v>
      </c>
      <c r="O11" s="12" t="s">
        <v>5</v>
      </c>
      <c r="P11" s="19"/>
    </row>
    <row r="12" spans="1:55" s="17" customFormat="1" ht="19.5" customHeight="1">
      <c r="A12" s="15" t="s">
        <v>50</v>
      </c>
      <c r="B12" s="2">
        <f t="shared" si="2"/>
        <v>246676</v>
      </c>
      <c r="C12" s="2">
        <v>10336</v>
      </c>
      <c r="D12" s="2">
        <v>9436</v>
      </c>
      <c r="E12" s="2">
        <v>12705</v>
      </c>
      <c r="F12" s="2">
        <v>18675</v>
      </c>
      <c r="G12" s="2">
        <v>19148</v>
      </c>
      <c r="H12" s="2">
        <v>20438</v>
      </c>
      <c r="I12" s="2">
        <v>32381</v>
      </c>
      <c r="J12" s="2">
        <v>33254</v>
      </c>
      <c r="K12" s="2">
        <v>30299</v>
      </c>
      <c r="L12" s="2">
        <v>23315</v>
      </c>
      <c r="M12" s="2">
        <v>18427</v>
      </c>
      <c r="N12" s="2">
        <v>18262</v>
      </c>
      <c r="O12" s="16" t="s">
        <v>51</v>
      </c>
    </row>
    <row r="13" spans="1:55" s="17" customFormat="1" ht="19.5" customHeight="1">
      <c r="A13" s="15" t="s">
        <v>52</v>
      </c>
      <c r="B13" s="2">
        <f t="shared" si="2"/>
        <v>58947</v>
      </c>
      <c r="C13" s="2">
        <v>3398</v>
      </c>
      <c r="D13" s="2">
        <v>3739</v>
      </c>
      <c r="E13" s="2">
        <v>5698</v>
      </c>
      <c r="F13" s="2">
        <v>6154</v>
      </c>
      <c r="G13" s="2">
        <v>5584</v>
      </c>
      <c r="H13" s="2">
        <v>6828</v>
      </c>
      <c r="I13" s="2">
        <v>3749</v>
      </c>
      <c r="J13" s="2">
        <v>4154</v>
      </c>
      <c r="K13" s="2">
        <v>3837</v>
      </c>
      <c r="L13" s="2">
        <v>4860</v>
      </c>
      <c r="M13" s="2">
        <v>4896</v>
      </c>
      <c r="N13" s="2">
        <v>6050</v>
      </c>
      <c r="O13" s="16" t="s">
        <v>53</v>
      </c>
    </row>
    <row r="14" spans="1:55" s="17" customFormat="1" ht="19.5" customHeight="1">
      <c r="A14" s="15" t="s">
        <v>54</v>
      </c>
      <c r="B14" s="2">
        <f t="shared" si="2"/>
        <v>264753</v>
      </c>
      <c r="C14" s="2">
        <v>22806</v>
      </c>
      <c r="D14" s="2">
        <v>23234</v>
      </c>
      <c r="E14" s="2">
        <v>22354</v>
      </c>
      <c r="F14" s="2">
        <v>21288</v>
      </c>
      <c r="G14" s="2">
        <v>24023</v>
      </c>
      <c r="H14" s="2">
        <v>20793</v>
      </c>
      <c r="I14" s="2">
        <v>16943</v>
      </c>
      <c r="J14" s="2">
        <v>18543</v>
      </c>
      <c r="K14" s="2">
        <v>18819</v>
      </c>
      <c r="L14" s="2">
        <v>20305</v>
      </c>
      <c r="M14" s="2">
        <v>24001</v>
      </c>
      <c r="N14" s="2">
        <v>31644</v>
      </c>
      <c r="O14" s="16" t="s">
        <v>55</v>
      </c>
      <c r="P14" s="10"/>
    </row>
    <row r="15" spans="1:55" s="13" customFormat="1" ht="19.5" customHeight="1">
      <c r="A15" s="11" t="s">
        <v>8</v>
      </c>
      <c r="B15" s="1">
        <f t="shared" si="2"/>
        <v>36966</v>
      </c>
      <c r="C15" s="1">
        <v>2915</v>
      </c>
      <c r="D15" s="1">
        <v>2207</v>
      </c>
      <c r="E15" s="1">
        <v>3197</v>
      </c>
      <c r="F15" s="1">
        <v>4185</v>
      </c>
      <c r="G15" s="1">
        <v>3018</v>
      </c>
      <c r="H15" s="1">
        <v>2805</v>
      </c>
      <c r="I15" s="1">
        <v>2893</v>
      </c>
      <c r="J15" s="1">
        <v>2461</v>
      </c>
      <c r="K15" s="1">
        <v>3456</v>
      </c>
      <c r="L15" s="1">
        <v>3533</v>
      </c>
      <c r="M15" s="1">
        <v>3066</v>
      </c>
      <c r="N15" s="1">
        <v>3230</v>
      </c>
      <c r="O15" s="12" t="s">
        <v>7</v>
      </c>
      <c r="P15" s="19"/>
      <c r="AQ15" s="11"/>
      <c r="AR15" s="9"/>
      <c r="AS15" s="9"/>
      <c r="AT15" s="9"/>
      <c r="AU15" s="9"/>
      <c r="AV15" s="9"/>
      <c r="AW15" s="9"/>
      <c r="AX15" s="9"/>
      <c r="AY15" s="9"/>
      <c r="AZ15" s="9"/>
      <c r="BA15" s="9"/>
      <c r="BB15" s="9"/>
      <c r="BC15" s="9"/>
    </row>
    <row r="16" spans="1:55" s="13" customFormat="1" ht="19.5" customHeight="1">
      <c r="A16" s="11" t="s">
        <v>6</v>
      </c>
      <c r="B16" s="1">
        <f t="shared" si="2"/>
        <v>24222</v>
      </c>
      <c r="C16" s="1">
        <v>1670</v>
      </c>
      <c r="D16" s="1">
        <v>1618</v>
      </c>
      <c r="E16" s="1">
        <v>1891</v>
      </c>
      <c r="F16" s="1">
        <v>2099</v>
      </c>
      <c r="G16" s="1">
        <v>1836</v>
      </c>
      <c r="H16" s="1">
        <v>1819</v>
      </c>
      <c r="I16" s="1">
        <v>2361</v>
      </c>
      <c r="J16" s="1">
        <v>2497</v>
      </c>
      <c r="K16" s="1">
        <v>2155</v>
      </c>
      <c r="L16" s="1">
        <v>1755</v>
      </c>
      <c r="M16" s="1">
        <v>1482</v>
      </c>
      <c r="N16" s="1">
        <v>3039</v>
      </c>
      <c r="O16" s="12" t="s">
        <v>56</v>
      </c>
      <c r="AQ16" s="15"/>
      <c r="AR16" s="2"/>
      <c r="AS16" s="2"/>
      <c r="AT16" s="2"/>
      <c r="AU16" s="2"/>
      <c r="AV16" s="2"/>
      <c r="AW16" s="2"/>
      <c r="AX16" s="2"/>
      <c r="AY16" s="2"/>
      <c r="AZ16" s="2"/>
      <c r="BA16" s="2"/>
      <c r="BB16" s="2"/>
      <c r="BC16" s="2"/>
    </row>
    <row r="17" spans="1:55" s="13" customFormat="1" ht="19.5" customHeight="1">
      <c r="A17" s="11" t="s">
        <v>57</v>
      </c>
      <c r="B17" s="1">
        <f t="shared" si="2"/>
        <v>111483</v>
      </c>
      <c r="C17" s="1">
        <v>11732</v>
      </c>
      <c r="D17" s="1">
        <v>10286</v>
      </c>
      <c r="E17" s="1">
        <v>11601</v>
      </c>
      <c r="F17" s="1">
        <v>10304</v>
      </c>
      <c r="G17" s="1">
        <v>7344</v>
      </c>
      <c r="H17" s="1">
        <v>7417</v>
      </c>
      <c r="I17" s="1">
        <v>7764</v>
      </c>
      <c r="J17" s="1">
        <v>6812</v>
      </c>
      <c r="K17" s="1">
        <v>7157</v>
      </c>
      <c r="L17" s="1">
        <v>8637</v>
      </c>
      <c r="M17" s="1">
        <v>10823</v>
      </c>
      <c r="N17" s="1">
        <v>11606</v>
      </c>
      <c r="O17" s="12" t="s">
        <v>58</v>
      </c>
      <c r="P17" s="19"/>
      <c r="AQ17" s="15"/>
      <c r="AR17" s="2"/>
      <c r="AS17" s="2"/>
      <c r="AT17" s="2"/>
      <c r="AU17" s="2"/>
      <c r="AV17" s="2"/>
      <c r="AW17" s="2"/>
      <c r="AX17" s="2"/>
      <c r="AY17" s="2"/>
      <c r="AZ17" s="2"/>
      <c r="BA17" s="2"/>
      <c r="BB17" s="2"/>
      <c r="BC17" s="2"/>
    </row>
    <row r="18" spans="1:55" s="13" customFormat="1" ht="19.5" customHeight="1">
      <c r="A18" s="11" t="s">
        <v>9</v>
      </c>
      <c r="B18" s="1">
        <f t="shared" si="2"/>
        <v>80671</v>
      </c>
      <c r="C18" s="1">
        <v>4463</v>
      </c>
      <c r="D18" s="1">
        <v>5658</v>
      </c>
      <c r="E18" s="1">
        <v>6395</v>
      </c>
      <c r="F18" s="1">
        <v>7118</v>
      </c>
      <c r="G18" s="1">
        <v>6651</v>
      </c>
      <c r="H18" s="1">
        <v>9943</v>
      </c>
      <c r="I18" s="1">
        <v>10554</v>
      </c>
      <c r="J18" s="1">
        <v>9120</v>
      </c>
      <c r="K18" s="1">
        <v>5703</v>
      </c>
      <c r="L18" s="1">
        <v>4082</v>
      </c>
      <c r="M18" s="1">
        <v>5267</v>
      </c>
      <c r="N18" s="1">
        <v>5717</v>
      </c>
      <c r="O18" s="12" t="s">
        <v>59</v>
      </c>
      <c r="P18" s="19"/>
      <c r="AQ18" s="15"/>
      <c r="AR18" s="2"/>
      <c r="AS18" s="2"/>
      <c r="AT18" s="2"/>
      <c r="AU18" s="2"/>
      <c r="AV18" s="2"/>
      <c r="AW18" s="2"/>
      <c r="AX18" s="2"/>
      <c r="AY18" s="2"/>
      <c r="AZ18" s="2"/>
      <c r="BA18" s="2"/>
      <c r="BB18" s="2"/>
      <c r="BC18" s="2"/>
    </row>
    <row r="19" spans="1:55" s="13" customFormat="1" ht="19.5" customHeight="1">
      <c r="A19" s="11" t="s">
        <v>60</v>
      </c>
      <c r="B19" s="1">
        <f>SUM(C19:N19)</f>
        <v>23</v>
      </c>
      <c r="C19" s="1">
        <v>0</v>
      </c>
      <c r="D19" s="1">
        <v>0</v>
      </c>
      <c r="E19" s="1">
        <v>0</v>
      </c>
      <c r="F19" s="1">
        <v>0</v>
      </c>
      <c r="G19" s="1">
        <v>0</v>
      </c>
      <c r="H19" s="1">
        <v>0</v>
      </c>
      <c r="I19" s="1">
        <v>0</v>
      </c>
      <c r="J19" s="1">
        <v>10</v>
      </c>
      <c r="K19" s="1">
        <v>2</v>
      </c>
      <c r="L19" s="1">
        <v>7</v>
      </c>
      <c r="M19" s="1">
        <v>0</v>
      </c>
      <c r="N19" s="1">
        <v>4</v>
      </c>
      <c r="O19" s="20" t="s">
        <v>10</v>
      </c>
      <c r="P19" s="19"/>
      <c r="AQ19" s="15"/>
      <c r="AR19" s="2"/>
      <c r="AS19" s="2"/>
      <c r="AT19" s="2"/>
      <c r="AU19" s="2"/>
      <c r="AV19" s="2"/>
      <c r="AW19" s="2"/>
      <c r="AX19" s="2"/>
      <c r="AY19" s="2"/>
      <c r="AZ19" s="2"/>
      <c r="BA19" s="2"/>
      <c r="BB19" s="2"/>
      <c r="BC19" s="2"/>
    </row>
    <row r="20" spans="1:55" s="13" customFormat="1" ht="19.5" customHeight="1">
      <c r="A20" s="3" t="s">
        <v>61</v>
      </c>
      <c r="B20" s="4">
        <f>SUM(C20:N20)</f>
        <v>93</v>
      </c>
      <c r="C20" s="4">
        <v>0</v>
      </c>
      <c r="D20" s="4">
        <v>0</v>
      </c>
      <c r="E20" s="4">
        <v>0</v>
      </c>
      <c r="F20" s="4">
        <v>0</v>
      </c>
      <c r="G20" s="4">
        <v>0</v>
      </c>
      <c r="H20" s="4">
        <v>0</v>
      </c>
      <c r="I20" s="4">
        <v>0</v>
      </c>
      <c r="J20" s="4">
        <v>20</v>
      </c>
      <c r="K20" s="4">
        <v>19</v>
      </c>
      <c r="L20" s="4">
        <v>27</v>
      </c>
      <c r="M20" s="4">
        <v>0</v>
      </c>
      <c r="N20" s="4">
        <v>27</v>
      </c>
      <c r="O20" s="5" t="s">
        <v>62</v>
      </c>
      <c r="P20" s="19"/>
      <c r="AQ20" s="15"/>
      <c r="AR20" s="2"/>
      <c r="AS20" s="2"/>
      <c r="AT20" s="2"/>
      <c r="AU20" s="2"/>
      <c r="AV20" s="2"/>
      <c r="AW20" s="2"/>
      <c r="AX20" s="2"/>
      <c r="AY20" s="2"/>
      <c r="AZ20" s="2"/>
      <c r="BA20" s="2"/>
      <c r="BB20" s="2"/>
      <c r="BC20" s="2"/>
    </row>
    <row r="21" spans="1:55" s="17" customFormat="1" ht="15.75" customHeight="1">
      <c r="A21" s="21" t="s">
        <v>11</v>
      </c>
      <c r="B21" s="22"/>
      <c r="C21" s="23"/>
      <c r="D21" s="22" t="s">
        <v>63</v>
      </c>
      <c r="E21" s="22"/>
      <c r="F21" s="22"/>
      <c r="G21" s="22"/>
      <c r="H21" s="22"/>
      <c r="I21" s="22"/>
      <c r="J21" s="22"/>
      <c r="K21" s="22"/>
      <c r="L21" s="22"/>
      <c r="M21" s="24"/>
      <c r="N21" s="24"/>
      <c r="O21" s="25" t="s">
        <v>13</v>
      </c>
      <c r="P21" s="10"/>
      <c r="AQ21" s="15"/>
      <c r="AR21" s="2"/>
      <c r="AS21" s="2"/>
      <c r="AT21" s="2"/>
      <c r="AU21" s="2"/>
      <c r="AV21" s="2"/>
      <c r="AW21" s="2"/>
      <c r="AX21" s="2"/>
      <c r="AY21" s="2"/>
      <c r="AZ21" s="2"/>
      <c r="BA21" s="2"/>
      <c r="BB21" s="2"/>
      <c r="BC21" s="2"/>
    </row>
    <row r="22" spans="1:55" s="17" customFormat="1" ht="13.5" customHeight="1">
      <c r="A22" s="26" t="s">
        <v>64</v>
      </c>
      <c r="B22" s="22"/>
      <c r="C22" s="23"/>
      <c r="D22" s="22"/>
      <c r="E22" s="22"/>
      <c r="F22" s="22"/>
      <c r="G22" s="22"/>
      <c r="H22" s="22"/>
      <c r="I22" s="22"/>
      <c r="J22" s="22"/>
      <c r="K22" s="22"/>
      <c r="L22" s="22"/>
      <c r="M22" s="27" t="s">
        <v>65</v>
      </c>
      <c r="N22" s="27"/>
      <c r="O22" s="27"/>
      <c r="AQ22" s="18"/>
      <c r="AR22" s="2"/>
      <c r="AS22" s="2"/>
      <c r="AT22" s="2"/>
      <c r="AU22" s="2"/>
      <c r="AV22" s="2"/>
      <c r="AW22" s="2"/>
      <c r="AX22" s="2"/>
      <c r="AY22" s="2"/>
      <c r="AZ22" s="2"/>
      <c r="BA22" s="2"/>
      <c r="BB22" s="2"/>
      <c r="BC22" s="2"/>
    </row>
    <row r="23" spans="1:55">
      <c r="A23" s="28" t="s">
        <v>66</v>
      </c>
      <c r="C23" s="29"/>
      <c r="D23" s="29"/>
      <c r="E23" s="29"/>
      <c r="F23" s="29"/>
      <c r="G23" s="29"/>
      <c r="H23" s="29"/>
      <c r="I23" s="29"/>
      <c r="J23" s="29"/>
      <c r="K23" s="29"/>
      <c r="L23" s="29"/>
      <c r="M23" s="29"/>
      <c r="N23" s="29"/>
    </row>
    <row r="24" spans="1:55">
      <c r="A24" s="30" t="s">
        <v>67</v>
      </c>
      <c r="C24" s="29"/>
      <c r="D24" s="29"/>
      <c r="E24" s="29"/>
      <c r="F24" s="29"/>
      <c r="G24" s="29"/>
      <c r="H24" s="29"/>
      <c r="I24" s="29"/>
      <c r="J24" s="29"/>
      <c r="K24" s="29"/>
      <c r="L24" s="29"/>
      <c r="M24" s="29"/>
      <c r="N24" s="29"/>
    </row>
    <row r="27" spans="1:55">
      <c r="AQ27" s="11"/>
      <c r="AR27" s="9" t="s">
        <v>14</v>
      </c>
      <c r="AS27" s="9" t="s">
        <v>15</v>
      </c>
      <c r="AT27" s="9" t="s">
        <v>16</v>
      </c>
      <c r="AU27" s="9" t="s">
        <v>17</v>
      </c>
      <c r="AV27" s="9" t="s">
        <v>12</v>
      </c>
      <c r="AW27" s="9" t="s">
        <v>18</v>
      </c>
      <c r="AX27" s="9" t="s">
        <v>19</v>
      </c>
      <c r="AY27" s="9" t="s">
        <v>20</v>
      </c>
      <c r="AZ27" s="9" t="s">
        <v>21</v>
      </c>
      <c r="BA27" s="9" t="s">
        <v>22</v>
      </c>
      <c r="BB27" s="9" t="s">
        <v>23</v>
      </c>
      <c r="BC27" s="9" t="s">
        <v>24</v>
      </c>
    </row>
    <row r="28" spans="1:55">
      <c r="A28" s="11"/>
      <c r="B28" s="1"/>
      <c r="AQ28" s="15" t="s">
        <v>40</v>
      </c>
      <c r="AR28" s="2">
        <f>C6</f>
        <v>44319</v>
      </c>
      <c r="AS28" s="2">
        <f t="shared" ref="AS28:BC32" si="4">D6</f>
        <v>41991</v>
      </c>
      <c r="AT28" s="2">
        <f t="shared" si="4"/>
        <v>38136</v>
      </c>
      <c r="AU28" s="2">
        <f t="shared" si="4"/>
        <v>28665</v>
      </c>
      <c r="AV28" s="2">
        <f t="shared" si="4"/>
        <v>18314</v>
      </c>
      <c r="AW28" s="2">
        <f t="shared" si="4"/>
        <v>21746</v>
      </c>
      <c r="AX28" s="2">
        <f t="shared" si="4"/>
        <v>28079</v>
      </c>
      <c r="AY28" s="2">
        <f t="shared" si="4"/>
        <v>26607</v>
      </c>
      <c r="AZ28" s="2">
        <f t="shared" si="4"/>
        <v>19756</v>
      </c>
      <c r="BA28" s="2">
        <f t="shared" si="4"/>
        <v>29722</v>
      </c>
      <c r="BB28" s="2">
        <f t="shared" si="4"/>
        <v>33808</v>
      </c>
      <c r="BC28" s="2">
        <f t="shared" si="4"/>
        <v>38105</v>
      </c>
    </row>
    <row r="29" spans="1:55">
      <c r="A29" s="11"/>
      <c r="B29" s="1"/>
      <c r="AQ29" s="15" t="s">
        <v>42</v>
      </c>
      <c r="AR29" s="2">
        <f>C7</f>
        <v>19343</v>
      </c>
      <c r="AS29" s="2">
        <f t="shared" si="4"/>
        <v>23569</v>
      </c>
      <c r="AT29" s="2">
        <f t="shared" si="4"/>
        <v>20651</v>
      </c>
      <c r="AU29" s="2">
        <f t="shared" si="4"/>
        <v>18526</v>
      </c>
      <c r="AV29" s="2">
        <f t="shared" si="4"/>
        <v>9308</v>
      </c>
      <c r="AW29" s="2">
        <f t="shared" si="4"/>
        <v>8278</v>
      </c>
      <c r="AX29" s="2">
        <f t="shared" si="4"/>
        <v>12546</v>
      </c>
      <c r="AY29" s="2">
        <f t="shared" si="4"/>
        <v>11757</v>
      </c>
      <c r="AZ29" s="2">
        <f t="shared" si="4"/>
        <v>9282</v>
      </c>
      <c r="BA29" s="2">
        <f t="shared" si="4"/>
        <v>17904</v>
      </c>
      <c r="BB29" s="2">
        <f t="shared" si="4"/>
        <v>18619</v>
      </c>
      <c r="BC29" s="2">
        <f t="shared" si="4"/>
        <v>21291</v>
      </c>
    </row>
    <row r="30" spans="1:55">
      <c r="A30" s="11"/>
      <c r="B30" s="1"/>
      <c r="AQ30" s="15" t="s">
        <v>44</v>
      </c>
      <c r="AR30" s="2">
        <f>C8</f>
        <v>23346</v>
      </c>
      <c r="AS30" s="2">
        <f t="shared" si="4"/>
        <v>21722</v>
      </c>
      <c r="AT30" s="2">
        <f t="shared" si="4"/>
        <v>20038</v>
      </c>
      <c r="AU30" s="2">
        <f t="shared" si="4"/>
        <v>17718</v>
      </c>
      <c r="AV30" s="2">
        <f t="shared" si="4"/>
        <v>8196</v>
      </c>
      <c r="AW30" s="2">
        <f t="shared" si="4"/>
        <v>8722</v>
      </c>
      <c r="AX30" s="2">
        <f t="shared" si="4"/>
        <v>11692</v>
      </c>
      <c r="AY30" s="2">
        <f t="shared" si="4"/>
        <v>20015</v>
      </c>
      <c r="AZ30" s="2">
        <f t="shared" si="4"/>
        <v>11327</v>
      </c>
      <c r="BA30" s="2">
        <f t="shared" si="4"/>
        <v>14318</v>
      </c>
      <c r="BB30" s="2">
        <f t="shared" si="4"/>
        <v>15185</v>
      </c>
      <c r="BC30" s="2">
        <f t="shared" si="4"/>
        <v>28188</v>
      </c>
    </row>
    <row r="31" spans="1:55">
      <c r="A31" s="11"/>
      <c r="B31" s="11"/>
      <c r="C31" s="11"/>
      <c r="AQ31" s="15" t="s">
        <v>46</v>
      </c>
      <c r="AR31" s="2">
        <f>C9</f>
        <v>25212</v>
      </c>
      <c r="AS31" s="2">
        <f t="shared" si="4"/>
        <v>32518</v>
      </c>
      <c r="AT31" s="2">
        <f t="shared" si="4"/>
        <v>28531</v>
      </c>
      <c r="AU31" s="2">
        <f t="shared" si="4"/>
        <v>27129</v>
      </c>
      <c r="AV31" s="2">
        <f t="shared" si="4"/>
        <v>15833</v>
      </c>
      <c r="AW31" s="2">
        <f t="shared" si="4"/>
        <v>9635</v>
      </c>
      <c r="AX31" s="2">
        <f t="shared" si="4"/>
        <v>14384</v>
      </c>
      <c r="AY31" s="2">
        <f t="shared" si="4"/>
        <v>16631</v>
      </c>
      <c r="AZ31" s="2">
        <f t="shared" si="4"/>
        <v>15922</v>
      </c>
      <c r="BA31" s="2">
        <f t="shared" si="4"/>
        <v>29085</v>
      </c>
      <c r="BB31" s="2">
        <f t="shared" si="4"/>
        <v>26554</v>
      </c>
      <c r="BC31" s="2">
        <f t="shared" si="4"/>
        <v>26095</v>
      </c>
    </row>
    <row r="32" spans="1:55" ht="25.5">
      <c r="A32" s="11"/>
      <c r="B32" s="11"/>
      <c r="C32" s="11"/>
      <c r="AQ32" s="18" t="s">
        <v>48</v>
      </c>
      <c r="AR32" s="2">
        <f>C10</f>
        <v>2959</v>
      </c>
      <c r="AS32" s="2">
        <f t="shared" si="4"/>
        <v>1937</v>
      </c>
      <c r="AT32" s="2">
        <f t="shared" si="4"/>
        <v>2317</v>
      </c>
      <c r="AU32" s="2">
        <f t="shared" si="4"/>
        <v>2496</v>
      </c>
      <c r="AV32" s="2">
        <f t="shared" si="4"/>
        <v>1704</v>
      </c>
      <c r="AW32" s="2">
        <f t="shared" si="4"/>
        <v>1939</v>
      </c>
      <c r="AX32" s="2">
        <f t="shared" si="4"/>
        <v>2274</v>
      </c>
      <c r="AY32" s="2">
        <f t="shared" si="4"/>
        <v>2973</v>
      </c>
      <c r="AZ32" s="2">
        <f t="shared" si="4"/>
        <v>3233</v>
      </c>
      <c r="BA32" s="2">
        <f t="shared" si="4"/>
        <v>1591</v>
      </c>
      <c r="BB32" s="2">
        <f t="shared" si="4"/>
        <v>1530</v>
      </c>
      <c r="BC32" s="2">
        <f t="shared" si="4"/>
        <v>1438</v>
      </c>
    </row>
    <row r="33" spans="1:55">
      <c r="A33" s="11"/>
      <c r="B33" s="11"/>
      <c r="C33" s="11"/>
    </row>
    <row r="34" spans="1:55">
      <c r="A34" s="11"/>
      <c r="B34" s="11"/>
      <c r="C34" s="11"/>
    </row>
    <row r="35" spans="1:55">
      <c r="A35" s="11"/>
      <c r="B35" s="11"/>
      <c r="C35" s="11"/>
    </row>
    <row r="36" spans="1:55">
      <c r="AQ36" s="11"/>
      <c r="AR36" s="9" t="s">
        <v>14</v>
      </c>
      <c r="AS36" s="9" t="s">
        <v>15</v>
      </c>
      <c r="AT36" s="9" t="s">
        <v>16</v>
      </c>
      <c r="AU36" s="9" t="s">
        <v>17</v>
      </c>
      <c r="AV36" s="9" t="s">
        <v>12</v>
      </c>
      <c r="AW36" s="9" t="s">
        <v>18</v>
      </c>
      <c r="AX36" s="9" t="s">
        <v>19</v>
      </c>
      <c r="AY36" s="9" t="s">
        <v>20</v>
      </c>
      <c r="AZ36" s="9" t="s">
        <v>21</v>
      </c>
      <c r="BA36" s="9" t="s">
        <v>22</v>
      </c>
      <c r="BB36" s="9" t="s">
        <v>23</v>
      </c>
      <c r="BC36" s="9" t="s">
        <v>24</v>
      </c>
    </row>
    <row r="37" spans="1:55">
      <c r="AQ37" s="15" t="s">
        <v>50</v>
      </c>
      <c r="AR37" s="2">
        <f>C12</f>
        <v>10336</v>
      </c>
      <c r="AS37" s="2">
        <f t="shared" ref="AS37:BC39" si="5">D12</f>
        <v>9436</v>
      </c>
      <c r="AT37" s="2">
        <f t="shared" si="5"/>
        <v>12705</v>
      </c>
      <c r="AU37" s="2">
        <f t="shared" si="5"/>
        <v>18675</v>
      </c>
      <c r="AV37" s="2">
        <f t="shared" si="5"/>
        <v>19148</v>
      </c>
      <c r="AW37" s="2">
        <f t="shared" si="5"/>
        <v>20438</v>
      </c>
      <c r="AX37" s="2">
        <f t="shared" si="5"/>
        <v>32381</v>
      </c>
      <c r="AY37" s="2">
        <f t="shared" si="5"/>
        <v>33254</v>
      </c>
      <c r="AZ37" s="2">
        <f t="shared" si="5"/>
        <v>30299</v>
      </c>
      <c r="BA37" s="2">
        <f t="shared" si="5"/>
        <v>23315</v>
      </c>
      <c r="BB37" s="2">
        <f t="shared" si="5"/>
        <v>18427</v>
      </c>
      <c r="BC37" s="2">
        <f t="shared" si="5"/>
        <v>18262</v>
      </c>
    </row>
    <row r="38" spans="1:55">
      <c r="AQ38" s="15" t="s">
        <v>52</v>
      </c>
      <c r="AR38" s="2">
        <f>C13</f>
        <v>3398</v>
      </c>
      <c r="AS38" s="2">
        <f t="shared" si="5"/>
        <v>3739</v>
      </c>
      <c r="AT38" s="2">
        <f t="shared" si="5"/>
        <v>5698</v>
      </c>
      <c r="AU38" s="2">
        <f t="shared" si="5"/>
        <v>6154</v>
      </c>
      <c r="AV38" s="2">
        <f t="shared" si="5"/>
        <v>5584</v>
      </c>
      <c r="AW38" s="2">
        <f t="shared" si="5"/>
        <v>6828</v>
      </c>
      <c r="AX38" s="2">
        <f t="shared" si="5"/>
        <v>3749</v>
      </c>
      <c r="AY38" s="2">
        <f t="shared" si="5"/>
        <v>4154</v>
      </c>
      <c r="AZ38" s="2">
        <f t="shared" si="5"/>
        <v>3837</v>
      </c>
      <c r="BA38" s="2">
        <f t="shared" si="5"/>
        <v>4860</v>
      </c>
      <c r="BB38" s="2">
        <f t="shared" si="5"/>
        <v>4896</v>
      </c>
      <c r="BC38" s="2">
        <f t="shared" si="5"/>
        <v>6050</v>
      </c>
    </row>
    <row r="39" spans="1:55">
      <c r="AQ39" s="15" t="s">
        <v>54</v>
      </c>
      <c r="AR39" s="2">
        <f>C14</f>
        <v>22806</v>
      </c>
      <c r="AS39" s="2">
        <f t="shared" si="5"/>
        <v>23234</v>
      </c>
      <c r="AT39" s="2">
        <f t="shared" si="5"/>
        <v>22354</v>
      </c>
      <c r="AU39" s="2">
        <f t="shared" si="5"/>
        <v>21288</v>
      </c>
      <c r="AV39" s="2">
        <f t="shared" si="5"/>
        <v>24023</v>
      </c>
      <c r="AW39" s="2">
        <f t="shared" si="5"/>
        <v>20793</v>
      </c>
      <c r="AX39" s="2">
        <f t="shared" si="5"/>
        <v>16943</v>
      </c>
      <c r="AY39" s="2">
        <f t="shared" si="5"/>
        <v>18543</v>
      </c>
      <c r="AZ39" s="2">
        <f t="shared" si="5"/>
        <v>18819</v>
      </c>
      <c r="BA39" s="2">
        <f t="shared" si="5"/>
        <v>20305</v>
      </c>
      <c r="BB39" s="2">
        <f t="shared" si="5"/>
        <v>24001</v>
      </c>
      <c r="BC39" s="2">
        <f t="shared" si="5"/>
        <v>31644</v>
      </c>
    </row>
  </sheetData>
  <mergeCells count="3">
    <mergeCell ref="A1:O1"/>
    <mergeCell ref="A2:O2"/>
    <mergeCell ref="M22:O22"/>
  </mergeCells>
  <pageMargins left="0.7" right="0.7" top="0.75" bottom="0.75" header="0.3" footer="0.3"/>
  <pageSetup paperSize="9" scale="55" orientation="landscape" horizontalDpi="4294967295" verticalDpi="4294967295" r:id="rId1"/>
  <ignoredErrors>
    <ignoredError sqref="C11:N11" formulaRange="1"/>
  </ignoredErrors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10.11</vt:lpstr>
      <vt:lpstr>'10.11'!Print_Area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Fathimath Shifaza</dc:creator>
  <cp:lastModifiedBy>Fathimath Shifaza</cp:lastModifiedBy>
  <cp:lastPrinted>2024-07-09T03:35:59Z</cp:lastPrinted>
  <dcterms:created xsi:type="dcterms:W3CDTF">2019-02-27T06:18:18Z</dcterms:created>
  <dcterms:modified xsi:type="dcterms:W3CDTF">2024-07-09T03:37:49Z</dcterms:modified>
</cp:coreProperties>
</file>